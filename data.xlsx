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Sheet1!$A$1:$BX$271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<sst xmlns="http://schemas.openxmlformats.org/spreadsheetml/2006/main" count="8187" uniqueCount="758">
  <si>
    <t>StudyID</t>
  </si>
  <si>
    <t>ObservationID</t>
  </si>
  <si>
    <t>Title</t>
  </si>
  <si>
    <t>DOI</t>
  </si>
  <si>
    <t>Year</t>
  </si>
  <si>
    <t>FirstAuthor</t>
  </si>
  <si>
    <t>Journal</t>
  </si>
  <si>
    <t>Habitat</t>
  </si>
  <si>
    <t>Country</t>
  </si>
  <si>
    <t>SingleSpecies</t>
  </si>
  <si>
    <t>CommunityComposition</t>
  </si>
  <si>
    <t>PlantFamily</t>
  </si>
  <si>
    <t>PlantGenus</t>
  </si>
  <si>
    <t>PlantSpecies</t>
  </si>
  <si>
    <t>SpeciesDistribution</t>
  </si>
  <si>
    <t>SuitableTemperatureRange</t>
  </si>
  <si>
    <t>SuitableNutrientRange</t>
  </si>
  <si>
    <t>PhotosynthesicPathway</t>
  </si>
  <si>
    <t>CarbonUtilizationStrategy</t>
  </si>
  <si>
    <t>Background.N(aq)(mg.L-1)</t>
  </si>
  <si>
    <t>Background.N(sed)(mg.g-1)</t>
  </si>
  <si>
    <t>N(aq)Elevated(mg.L-1)</t>
  </si>
  <si>
    <t>N(sed)Elevated(mg.g-1)</t>
  </si>
  <si>
    <t>Background.P(aq)(mg.L-1)</t>
  </si>
  <si>
    <t>Background.P(sed)(mg.g-1)</t>
  </si>
  <si>
    <t>Ambient.Temperature(DegreesCelsius)</t>
  </si>
  <si>
    <t>Elevated.Temperature(High)(℃)</t>
  </si>
  <si>
    <t>Background.Fish.Presence(Y/N)</t>
  </si>
  <si>
    <t>Background.Snails.Presence(Y/N)</t>
  </si>
  <si>
    <t>Background.pH(aq)</t>
  </si>
  <si>
    <t>Background.Chl(μg.L-1)</t>
  </si>
  <si>
    <t>Latitude</t>
  </si>
  <si>
    <t>Longitude</t>
  </si>
  <si>
    <t>StudyDuration</t>
  </si>
  <si>
    <t>StudyDurationDays</t>
  </si>
  <si>
    <t>StudyVolumeNum</t>
  </si>
  <si>
    <t>StudyVolumeUnit</t>
  </si>
  <si>
    <t>SampleSize</t>
  </si>
  <si>
    <t>Replicates</t>
  </si>
  <si>
    <t>StartMonth</t>
  </si>
  <si>
    <t>EndMonth</t>
  </si>
  <si>
    <t>StudyYear</t>
  </si>
  <si>
    <t>GrowthConditionMetrics</t>
  </si>
  <si>
    <t>ResponseVariables</t>
  </si>
  <si>
    <t>ReseVarPercentage</t>
  </si>
  <si>
    <t>ResponseVariablesUnit</t>
  </si>
  <si>
    <t>FactorOneType</t>
  </si>
  <si>
    <t>FactorOneIdentity</t>
  </si>
  <si>
    <t>FactorTwoType</t>
  </si>
  <si>
    <t>FactorTwoIdentity</t>
  </si>
  <si>
    <t>FactorPair</t>
  </si>
  <si>
    <t>C_mean</t>
  </si>
  <si>
    <t>C_sd</t>
  </si>
  <si>
    <t>C_n</t>
  </si>
  <si>
    <t>F1_mean</t>
  </si>
  <si>
    <t>F1_sd</t>
  </si>
  <si>
    <t>F1_n</t>
  </si>
  <si>
    <t>F2_mean</t>
  </si>
  <si>
    <t>F2_sd</t>
  </si>
  <si>
    <t>F2_n</t>
  </si>
  <si>
    <t>F1_F2_mean</t>
  </si>
  <si>
    <t>F1_F2_sd</t>
  </si>
  <si>
    <t>F1_F2_n</t>
  </si>
  <si>
    <t>AdditiveNullModel</t>
  </si>
  <si>
    <t>MultiplicativeNullModel</t>
  </si>
  <si>
    <t>DominanceNullModel</t>
  </si>
  <si>
    <t>Sd_p</t>
  </si>
  <si>
    <t>n_p</t>
  </si>
  <si>
    <t>j</t>
  </si>
  <si>
    <t>s</t>
  </si>
  <si>
    <t>HedgesdAdditive</t>
  </si>
  <si>
    <t>VdAdditive</t>
  </si>
  <si>
    <t>HedgesdMultiplicative</t>
  </si>
  <si>
    <t>VdMultiplicative</t>
  </si>
  <si>
    <t>HedgesdDominance</t>
  </si>
  <si>
    <t>VdDominance</t>
  </si>
  <si>
    <t>Effects of eutrophication and snails on Eurasian watermilfoil (Myriophyllum spicatum) invasion</t>
  </si>
  <si>
    <t>10.1007/s10530-005-3933-7</t>
  </si>
  <si>
    <t>Jonathan M. Chase</t>
  </si>
  <si>
    <t>Biological Invasions</t>
  </si>
  <si>
    <t>Mesocosm</t>
  </si>
  <si>
    <t>USA</t>
  </si>
  <si>
    <t>No</t>
  </si>
  <si>
    <t>Ceratophyllum demersum; Elodea canadensis; Najas guadalupensis (Spreng.) Magnus; Potamogeton foliosus Raf.; Potamogeton pusillus L.</t>
  </si>
  <si>
    <t>NotSingleSpecies</t>
  </si>
  <si>
    <t>3 years</t>
  </si>
  <si>
    <t>L</t>
  </si>
  <si>
    <t>Aug</t>
  </si>
  <si>
    <t>2005</t>
  </si>
  <si>
    <t>Biomass</t>
  </si>
  <si>
    <t>g</t>
  </si>
  <si>
    <t>Nutrient enrichment</t>
  </si>
  <si>
    <t>Increased both water nitrogen and phosphorus</t>
  </si>
  <si>
    <t>Biological</t>
  </si>
  <si>
    <t>Snails</t>
  </si>
  <si>
    <t>not global change factor</t>
  </si>
  <si>
    <t>Yes</t>
  </si>
  <si>
    <t>Haloragaceae</t>
  </si>
  <si>
    <t>Myriophyllum</t>
  </si>
  <si>
    <t>Myriophyllum spicatum</t>
  </si>
  <si>
    <t>Alien</t>
  </si>
  <si>
    <t>WarmTolerant</t>
  </si>
  <si>
    <t>EutrophicTolerant</t>
  </si>
  <si>
    <t>C3</t>
  </si>
  <si>
    <t>Carbonate</t>
  </si>
  <si>
    <t>N</t>
  </si>
  <si>
    <t>Effects of turion size and water depth on germination and growth of an aquatic plant (Myriophyllum oguraense Miki subsp yangtzense)</t>
  </si>
  <si>
    <t>10.1080/02705060.2012.656382</t>
  </si>
  <si>
    <t>Jie Zhou</t>
  </si>
  <si>
    <t>Journal of Freshwater Ecology</t>
  </si>
  <si>
    <t>China</t>
  </si>
  <si>
    <t>Myriophyllum oguraense</t>
  </si>
  <si>
    <t>Native</t>
  </si>
  <si>
    <t>Unresolved</t>
  </si>
  <si>
    <t>90 days</t>
  </si>
  <si>
    <t>m3</t>
  </si>
  <si>
    <t>Feb</t>
  </si>
  <si>
    <t>May</t>
  </si>
  <si>
    <t>2009</t>
  </si>
  <si>
    <t>Light alterations</t>
  </si>
  <si>
    <t>Depth</t>
  </si>
  <si>
    <t>Plant competition</t>
  </si>
  <si>
    <t>Influence of intraspecific interaction and substrate type on initial growth and establishment of Hydrilla verticillata</t>
  </si>
  <si>
    <t>10.1007/s10750-010-0265-0</t>
  </si>
  <si>
    <t>Jinhui Jiang</t>
  </si>
  <si>
    <t>Hydrobiologia</t>
  </si>
  <si>
    <t>Hydrocharitaceae</t>
  </si>
  <si>
    <t>Hydrilla</t>
  </si>
  <si>
    <t>Hydrilla verticillata</t>
  </si>
  <si>
    <t>NotC3</t>
  </si>
  <si>
    <t>15 days</t>
  </si>
  <si>
    <t>Jul</t>
  </si>
  <si>
    <t>2008</t>
  </si>
  <si>
    <t>mg</t>
  </si>
  <si>
    <t>Inceased sediment nutrients</t>
  </si>
  <si>
    <t>Leaf biomass</t>
  </si>
  <si>
    <t>Stem biomass</t>
  </si>
  <si>
    <t>Sediment type, population density and their combined effect greatly charge the short-time growth of two common submerged macrophytes</t>
  </si>
  <si>
    <t>10.1016/j.ecoleng.2008.07.003</t>
  </si>
  <si>
    <t>ecological engineering</t>
  </si>
  <si>
    <t>In situ</t>
  </si>
  <si>
    <t>21 days</t>
  </si>
  <si>
    <t>2007</t>
  </si>
  <si>
    <t>Biomass accumulation</t>
  </si>
  <si>
    <t>Biomass accumulation (Stem)</t>
  </si>
  <si>
    <t>Biomass accumulation (Leaf)</t>
  </si>
  <si>
    <t>Potamogetonaceae</t>
  </si>
  <si>
    <t>Potamogeton</t>
  </si>
  <si>
    <t>Potamogeton crispus</t>
  </si>
  <si>
    <t>NotWarmTolerant</t>
  </si>
  <si>
    <t>The growth response of Hydrilla verticillata to sediment type and density</t>
  </si>
  <si>
    <t>10.3969/j.jssn.1000-2006.2008.04.017</t>
  </si>
  <si>
    <t>JIANG Jin-hu</t>
  </si>
  <si>
    <t>JOURNAL OF NANJING FORESTRY UNIVERSITY</t>
  </si>
  <si>
    <t>30 days</t>
  </si>
  <si>
    <t>2004</t>
  </si>
  <si>
    <t>Growth response of the submerged macrophyte Myriophyllum spicatum to sediment nutrient levels and water-level fluctuations</t>
  </si>
  <si>
    <t>10.3354/ab00484</t>
  </si>
  <si>
    <t>Jia-Jie Cao</t>
  </si>
  <si>
    <t>AQUATIC BIOLOGY</t>
  </si>
  <si>
    <t>69 days</t>
  </si>
  <si>
    <t>Apr</t>
  </si>
  <si>
    <t>2011</t>
  </si>
  <si>
    <t>Nutrient enrichment x Light alterations</t>
  </si>
  <si>
    <t>Interactive effects of light and snail herbivory rather than nutrient loading determine early establishment of submerged macrophytes</t>
  </si>
  <si>
    <t>10.1002/ece3.9070</t>
  </si>
  <si>
    <t>Mingjun Feng</t>
  </si>
  <si>
    <t>Ecology and Evolution</t>
  </si>
  <si>
    <t>Vallisneria</t>
  </si>
  <si>
    <t>Vallisneria spinulosa</t>
  </si>
  <si>
    <t>Y</t>
  </si>
  <si>
    <t>58 days</t>
  </si>
  <si>
    <t>Jan</t>
  </si>
  <si>
    <t>Mar</t>
  </si>
  <si>
    <t>2021</t>
  </si>
  <si>
    <t>Shading</t>
  </si>
  <si>
    <t>Reduced light intensitiy</t>
  </si>
  <si>
    <t>Shoot biomass</t>
  </si>
  <si>
    <t>Moderate hydrological disturbance and high nutrient substrate enhance the performance ofMyriophyllum aquaticum</t>
  </si>
  <si>
    <t>10.1007/s10750-020-04397-6</t>
  </si>
  <si>
    <t>Xiaoliang Zhang</t>
  </si>
  <si>
    <t>Myriophyllum aquaticum</t>
  </si>
  <si>
    <t>55 days</t>
  </si>
  <si>
    <t>Oct</t>
  </si>
  <si>
    <t>Increased depth</t>
  </si>
  <si>
    <t>Growth rate</t>
  </si>
  <si>
    <t>Relative growth rate</t>
  </si>
  <si>
    <t>g g-1 day-1</t>
  </si>
  <si>
    <t>Effects of dissolved inorganic level and sediment types on the plant traits of Myriophyllum spicatum L. and its exudates input to sediment</t>
  </si>
  <si>
    <t>10.1007/s00027-022-00925-9</t>
  </si>
  <si>
    <t>Yang Li</t>
  </si>
  <si>
    <t>Aquatic Sciences</t>
  </si>
  <si>
    <t>2019</t>
  </si>
  <si>
    <t>CO2 enrichment</t>
  </si>
  <si>
    <t>Nutrient enrichment x CO2 enrichment</t>
  </si>
  <si>
    <t>INTERACTIVE EFFECTS OF ENVIRONMENTAL-CONDITIONS ON THE GROWTH OF SUBMERSED AQUATIC MACROPHYTES</t>
  </si>
  <si>
    <t>10.1080/02705060.1991.9665294</t>
  </si>
  <si>
    <t>J. W. Barko</t>
  </si>
  <si>
    <t>Lab</t>
  </si>
  <si>
    <t>8 weeks</t>
  </si>
  <si>
    <t>1991</t>
  </si>
  <si>
    <t>CO2 enrichment x Light alterations</t>
  </si>
  <si>
    <t>Vallisneria americana</t>
  </si>
  <si>
    <t>increased sediment nutrient</t>
  </si>
  <si>
    <t>Light intensity</t>
  </si>
  <si>
    <t>Effects of snail herbivory and sediment type on the growth of Vallisneria spiralis</t>
  </si>
  <si>
    <t>10.3321/j.issn:1000-0933.2007.11.062</t>
  </si>
  <si>
    <t>LI KuanYi</t>
  </si>
  <si>
    <t>Acta Ecologica Sinica</t>
  </si>
  <si>
    <t>Vallisneria spiralis</t>
  </si>
  <si>
    <t>EutrophicSensitive</t>
  </si>
  <si>
    <t>1 month</t>
  </si>
  <si>
    <t>mg g-1 d-1</t>
  </si>
  <si>
    <t>Interactive Effects of Rising Temperature and Nutrient Enrichment on Aquatic Plant Growth, Stoichiometry, and Palatability</t>
  </si>
  <si>
    <t>10.3389/fpls.2020.00058</t>
  </si>
  <si>
    <t>Peiyu Zhang</t>
  </si>
  <si>
    <t>Frontiers in Plant Science</t>
  </si>
  <si>
    <t>Netherlands</t>
  </si>
  <si>
    <t>2 months</t>
  </si>
  <si>
    <t>Dec</t>
  </si>
  <si>
    <t>2016</t>
  </si>
  <si>
    <t>Elevated temperature</t>
  </si>
  <si>
    <t>Increased temperature</t>
  </si>
  <si>
    <t>Nutrient enrichment x Elevated temperature</t>
  </si>
  <si>
    <t>Nutrient enrichment x Nutrient enrichment</t>
  </si>
  <si>
    <t>SUBMERSED MACROPHYTE GROWTH AT LOW PH .2. CO2 X SEDIMENT INTERACTIONS</t>
  </si>
  <si>
    <t>10.1007/BF00317465</t>
  </si>
  <si>
    <t>John E. Titus</t>
  </si>
  <si>
    <t>Oecologia</t>
  </si>
  <si>
    <t>7 weeks</t>
  </si>
  <si>
    <t>Chemical pollutant</t>
  </si>
  <si>
    <t>Hydrochloric acid</t>
  </si>
  <si>
    <t>CO2 enrichment x Chemical pollutant</t>
  </si>
  <si>
    <t>Submersed macrophyte growth at low pH: contrasting responses of three species to dissolved inorganic carbon enrichment and sediment type</t>
  </si>
  <si>
    <t>10.1016/j.aquabot.2004.01.004</t>
  </si>
  <si>
    <t>Angela M. Pagano</t>
  </si>
  <si>
    <t>Aquatic Botany</t>
  </si>
  <si>
    <t>Lentibulariaceae</t>
  </si>
  <si>
    <t>Utricularia</t>
  </si>
  <si>
    <t>Utricularia vulgaris</t>
  </si>
  <si>
    <t>23 days</t>
  </si>
  <si>
    <t>d-1</t>
  </si>
  <si>
    <t>Elodea</t>
  </si>
  <si>
    <t>Elodea canadensis</t>
  </si>
  <si>
    <t>47 days</t>
  </si>
  <si>
    <t>Eriocaulaceae</t>
  </si>
  <si>
    <t>Eriocaulon</t>
  </si>
  <si>
    <t>Eriocaulon aquaticum</t>
  </si>
  <si>
    <t>NotCarbonate</t>
  </si>
  <si>
    <t>50 days</t>
  </si>
  <si>
    <t>Combined effects of water column nitrate enrichment, sediment type and irradiance on growth and foliar nutrient concentrations of Potamogeton alpinus</t>
  </si>
  <si>
    <t>10.1111/j.1365-2427.2005.01426.x</t>
  </si>
  <si>
    <t>GER BOEDELTJE</t>
  </si>
  <si>
    <t>Freshwater Biology</t>
  </si>
  <si>
    <t>Potamogeton alpinus</t>
  </si>
  <si>
    <t>Increased water nitrogen</t>
  </si>
  <si>
    <t>Increased sediment nutrients</t>
  </si>
  <si>
    <t>Effects of light and nutrient availability on the growth, allocation, carbon/nitrogen balance, phenolic chemistry, and resistance to herbivory of two freshwater macrophytes</t>
  </si>
  <si>
    <t>10.1007/s00442-003-1315-3</t>
  </si>
  <si>
    <t>Greg Cronin</t>
  </si>
  <si>
    <t>Potamogeton amplifolius; Nuphar advena (Aiton) Aiton</t>
  </si>
  <si>
    <t>Potamogeton amplifolius</t>
  </si>
  <si>
    <t>Sep</t>
  </si>
  <si>
    <t>1996</t>
  </si>
  <si>
    <t>Interactive Effects of Rising Temperature, Elevated CO2 and Herbivory on the Growth and Stoichiometry of a Submerged Macrophyte Vallisneria natans</t>
  </si>
  <si>
    <t>10.3390/su15021200</t>
  </si>
  <si>
    <t>Chi Zhou</t>
  </si>
  <si>
    <t>Sustainability</t>
  </si>
  <si>
    <t>Vallisneria natans</t>
  </si>
  <si>
    <t>61 days</t>
  </si>
  <si>
    <t>Jun</t>
  </si>
  <si>
    <t>2018</t>
  </si>
  <si>
    <t>Elevated temperature x CO2 enrichment</t>
  </si>
  <si>
    <t>g d-1</t>
  </si>
  <si>
    <t>increased temperature</t>
  </si>
  <si>
    <t>increased atmospheric carbon dioxide (CO2)</t>
  </si>
  <si>
    <t>EFFECTS OF DEPTH, DURATION AND FREQUENCY OF INUNDATION ON THE EARLY GROWTH OF AN AQUATIC PLANT (MYRIOPHYLLUM OGURAENSE SUBSP. YANGTZENSE WANG)</t>
  </si>
  <si>
    <t>10.3724/SP.J.1035.2012.00939</t>
  </si>
  <si>
    <t>ZHOU Jie</t>
  </si>
  <si>
    <t>ACTA HYDROBIOLOGICA SINICA</t>
  </si>
  <si>
    <t>Myriophyllum oguraense subsp. yangtzense</t>
  </si>
  <si>
    <t>2010</t>
  </si>
  <si>
    <t>Light alterations x Light alterations</t>
  </si>
  <si>
    <t>Shallow lakes at risk: Nutrient enrichment enhances top-down control of macrophytes by invasive herbivorous snails</t>
  </si>
  <si>
    <t>10.1111/fwb.13649</t>
  </si>
  <si>
    <t>Ying Liu</t>
  </si>
  <si>
    <t>108 days</t>
  </si>
  <si>
    <t>increased nutrient loading</t>
  </si>
  <si>
    <t>Mesocosm experiment reveals a strong positive effect of snail presence on macrophyte growth, resulting from control of epiphyton and nuisance filamentous algae: Implications for shallow lake management</t>
  </si>
  <si>
    <t>10.1016/j.scitotenv.2019.135958</t>
  </si>
  <si>
    <t>Liu Yang</t>
  </si>
  <si>
    <t>Science of the Total Environment</t>
  </si>
  <si>
    <t>Vallisneria denseserrulata</t>
  </si>
  <si>
    <t>2017</t>
  </si>
  <si>
    <t>Algae mediate submerged macrophyte response to nutrient and dissolved inorganic carbon loading: A mesocosm study on different species</t>
  </si>
  <si>
    <t>10.1016/j.chemosphere.2013.07.008</t>
  </si>
  <si>
    <t>Dong Xie</t>
  </si>
  <si>
    <t>Chemospher</t>
  </si>
  <si>
    <t>42 days</t>
  </si>
  <si>
    <t>Percentage</t>
  </si>
  <si>
    <t>Elodea nuttallii</t>
  </si>
  <si>
    <t>Effects of increasing nitrogen loading on the interactions among Bellamya aeruginosa,periphytic algae and Vallisneria spiralis</t>
  </si>
  <si>
    <t>10.13671/j.hjkxxb.2015.0069</t>
  </si>
  <si>
    <t>TAN Bingchang</t>
  </si>
  <si>
    <t>Acta Scientiae Circumstantiae</t>
  </si>
  <si>
    <t>60 days</t>
  </si>
  <si>
    <t>2013</t>
  </si>
  <si>
    <t>increased nitrogen loading</t>
  </si>
  <si>
    <t>Do interactions between eutrophication and CO2 enrichment Elevate the potential of elodeid invasion in tropical lakes?</t>
  </si>
  <si>
    <t>10.1007/s10530-020-02284-8</t>
  </si>
  <si>
    <t>Roger Paulo Mormul</t>
  </si>
  <si>
    <t>Brazil</t>
  </si>
  <si>
    <t>45 days</t>
  </si>
  <si>
    <t>2012</t>
  </si>
  <si>
    <t>Egeria najas</t>
  </si>
  <si>
    <t>Synergistic negative effects of small-sized benthivorous fish and nitrogen loading on the growth of submerged macrophytes - Relevance for shallow lake restoration</t>
  </si>
  <si>
    <t>10.1016/j.scitotenv.2017.06.119</t>
  </si>
  <si>
    <t>Jiao Gu</t>
  </si>
  <si>
    <t>28 days</t>
  </si>
  <si>
    <t>2014</t>
  </si>
  <si>
    <t>Fish</t>
  </si>
  <si>
    <t>g/treatment</t>
  </si>
  <si>
    <t>Interactive effects of nitrate concentrations and carbon dioxide on the stoichiometry, biomass allocation and growth rate of submerged aquatic plants</t>
  </si>
  <si>
    <t>10.1111/fwb.12928</t>
  </si>
  <si>
    <t>Emin Dulger</t>
  </si>
  <si>
    <t>Germany</t>
  </si>
  <si>
    <t>Egeria densa</t>
  </si>
  <si>
    <t>37 days</t>
  </si>
  <si>
    <t>Hydrogen carbonate enrichment</t>
  </si>
  <si>
    <t>Myriophyllum heterophyllum</t>
  </si>
  <si>
    <t>Sensitive response of sediment-grown Myriophyllum spicatum L. to arsenic pollution under different CO2 availability</t>
  </si>
  <si>
    <t>10.1007/s10750-016-2956-7</t>
  </si>
  <si>
    <t>Elisabeth M. Gross</t>
  </si>
  <si>
    <t>France</t>
  </si>
  <si>
    <t>14 days</t>
  </si>
  <si>
    <t>Arsenic</t>
  </si>
  <si>
    <t>cm cm-1 day-1 ?leaf)</t>
  </si>
  <si>
    <t>THE INTERACTIVE EFFECTS OF LIGHT AND INORGANIC CARBON ON AQUATIC PLANT-GROWTH</t>
  </si>
  <si>
    <t>10.1111/J.1365-3040.1994.TB00324.X</t>
  </si>
  <si>
    <t>T. V. MADSEN</t>
  </si>
  <si>
    <t>Piant, Cell and Environment</t>
  </si>
  <si>
    <t>Denmark</t>
  </si>
  <si>
    <t>3-4 weeks</t>
  </si>
  <si>
    <t>10^(-3)*day^(-1)</t>
  </si>
  <si>
    <t>Reduced altificial light</t>
  </si>
  <si>
    <t>Plantaginaceae</t>
  </si>
  <si>
    <t>Callitriche</t>
  </si>
  <si>
    <t>Callitriche cophocarpa</t>
  </si>
  <si>
    <t>10^(-3)*day^(-2)</t>
  </si>
  <si>
    <t>Effects of CO2 enrichment on mineral accumulation and nitrogen relations in a submersed macrophyte</t>
  </si>
  <si>
    <t>10.1046/j.1365-2427.1996.00135.x</t>
  </si>
  <si>
    <t>JOHNE. TITUS</t>
  </si>
  <si>
    <t>Dry mass</t>
  </si>
  <si>
    <t>Nutrient enrichment x Chemical pollutant</t>
  </si>
  <si>
    <t>Growth and physiological acclimation to temperature and inorganic carbon availability by two submerged aquatic macrophyte species, Callitriche cophocarpa and Elodea canadensis</t>
  </si>
  <si>
    <t>10.1046/j.1365-2435.2000.00412.x</t>
  </si>
  <si>
    <t>B. OLESEN</t>
  </si>
  <si>
    <t>Functional Ecology</t>
  </si>
  <si>
    <t>4-5 weeks</t>
  </si>
  <si>
    <t>day^-1</t>
  </si>
  <si>
    <t>Does Nutrient Availability Regulate Seagrass Response to Elevated CO2?</t>
  </si>
  <si>
    <t>10.1007/s10021-017-0212-2</t>
  </si>
  <si>
    <t>Justin E. Campbell</t>
  </si>
  <si>
    <t>Ecosystems</t>
  </si>
  <si>
    <t>testudinum; Syringodium filiforme K黷z.; Halodule wrightii; Halimeda spp.; Penicillus spp.</t>
  </si>
  <si>
    <t>350 days</t>
  </si>
  <si>
    <t>m</t>
  </si>
  <si>
    <t>g dry mass m^-2</t>
  </si>
  <si>
    <t>Relative growth rate (leaf)</t>
  </si>
  <si>
    <t>Implications of climate change for submerged macrophytes: effects of CO2, flow velocity and nutrient concentration on Berula erecta</t>
  </si>
  <si>
    <t>10.1007/s10452-020-09776-8</t>
  </si>
  <si>
    <t>Rosanne E. Reitsema</t>
  </si>
  <si>
    <t>Aquatic Ecology?</t>
  </si>
  <si>
    <t>Belgium</t>
  </si>
  <si>
    <t>Apiaceae</t>
  </si>
  <si>
    <t>Berula</t>
  </si>
  <si>
    <t>Berula erecta</t>
  </si>
  <si>
    <t>134 days</t>
  </si>
  <si>
    <t>mL</t>
  </si>
  <si>
    <t>mg m^-1 DM d^-1</t>
  </si>
  <si>
    <t>Hydraulic stressors</t>
  </si>
  <si>
    <t>Increased flow velocity</t>
  </si>
  <si>
    <t>Nutrient enrichment x Hydraulic stressors</t>
  </si>
  <si>
    <t>CO2 enrichment x Hydraulic stressors</t>
  </si>
  <si>
    <t>Effects of nutrient enrichment and Bellamya aeruginosa (Reeve) presence on three submerged macrophytes</t>
  </si>
  <si>
    <t>10.1007/s10750-019-3884-0</t>
  </si>
  <si>
    <t>Wei Li</t>
  </si>
  <si>
    <t>Ceratophyllaceae</t>
  </si>
  <si>
    <t>Ceratophyllum</t>
  </si>
  <si>
    <t>Ceratophyllum demersum</t>
  </si>
  <si>
    <t>40 days</t>
  </si>
  <si>
    <t>Aboveground biomass</t>
  </si>
  <si>
    <t>g m-2</t>
  </si>
  <si>
    <t>The influence of nutrient loading, dissolved inorganic carbon and higher trophic levels on the interaction between submerged plants and periphyton</t>
  </si>
  <si>
    <t>10.1046/j.0022-0477.2001.00620.x</t>
  </si>
  <si>
    <t>J. IWAN JONES</t>
  </si>
  <si>
    <t>Journal of Ecology</t>
  </si>
  <si>
    <t>UK</t>
  </si>
  <si>
    <t>16 weeks</t>
  </si>
  <si>
    <t>1995&amp;1996</t>
  </si>
  <si>
    <t>g m^-2</t>
  </si>
  <si>
    <t>increased predators</t>
  </si>
  <si>
    <t>DIC</t>
  </si>
  <si>
    <t>Interactive effects of pH, temperature and light during ammonia toxicity events in Elodea canadensis</t>
  </si>
  <si>
    <t>10.1080/02757540.2013.769971</t>
  </si>
  <si>
    <t>Jordie J.C. Netten</t>
  </si>
  <si>
    <t>Chemistry and Ecology</t>
  </si>
  <si>
    <t>12 days</t>
  </si>
  <si>
    <t>gg?1d?1</t>
  </si>
  <si>
    <t>Warming</t>
  </si>
  <si>
    <t>Elevated temperature x Chemical pollutant</t>
  </si>
  <si>
    <t>Light alterations x Chemical pollutant</t>
  </si>
  <si>
    <t>Elevated temperature x Light alterations</t>
  </si>
  <si>
    <t>Using Freshwater Bivalves (Corbicula Fluminea) to Alleviate Harmful Effects of Small-Sized Crucian Carp (Carassius Carassius) on Growth of Submerged Macrophytes during Lake Restoration by Biomanipulation</t>
  </si>
  <si>
    <t>10.3390/w12113161</t>
  </si>
  <si>
    <t>Water</t>
  </si>
  <si>
    <t>mg g^-1 d^-1</t>
  </si>
  <si>
    <t>Bivalves</t>
  </si>
  <si>
    <t>Effects of cyanobacterial accumulation and snail grazing on the growth of vallisneria natans</t>
  </si>
  <si>
    <t>10?5846/stxb201202110179</t>
  </si>
  <si>
    <t>Hu He</t>
  </si>
  <si>
    <t>ACTA ECOLOGICA SINICA</t>
  </si>
  <si>
    <t>mg* g ^-1 *d^-1</t>
  </si>
  <si>
    <t>cyanobacterial blooms</t>
  </si>
  <si>
    <t>The influence of water level on macrophyte growth and trophic interactions in eutrophic Mediterranean shallow lakes: a mesocosm experiment with and without fish</t>
  </si>
  <si>
    <t>10.1111/j.1365-2427.2012.02825.x</t>
  </si>
  <si>
    <t>Tuba Bucak</t>
  </si>
  <si>
    <t>Turkey</t>
  </si>
  <si>
    <t>Stuckenia</t>
  </si>
  <si>
    <t>Potamogeton pectinatus</t>
  </si>
  <si>
    <t>116 days</t>
  </si>
  <si>
    <t>m2</t>
  </si>
  <si>
    <t>increased depth</t>
  </si>
  <si>
    <t>Impact of nutrients and water level changes on submerged macrophytes along a temperature gradient: A pan-European mesocosm experiment</t>
  </si>
  <si>
    <t>10.1111/gcb.15338</t>
  </si>
  <si>
    <t>Zeynep Ersoy</t>
  </si>
  <si>
    <t>Global change biology</t>
  </si>
  <si>
    <t>Sweden, Estonia, Germany, Czech Republic</t>
  </si>
  <si>
    <t>6 months</t>
  </si>
  <si>
    <t>Nov</t>
  </si>
  <si>
    <t>RELATIVE EFFECTS OF NUTRIENT ENRICHMENT AND GRAZING ON EPIPHYTE-MACROPHYTE (ZOSTERA-MARINA L) DYNAMICS</t>
  </si>
  <si>
    <t>10.1007/BF00317683</t>
  </si>
  <si>
    <t>Hilary A. Neckles</t>
  </si>
  <si>
    <t>Zosteraceae</t>
  </si>
  <si>
    <t>Zostera</t>
  </si>
  <si>
    <t>Zostera marina</t>
  </si>
  <si>
    <t>31 days</t>
  </si>
  <si>
    <t>1987</t>
  </si>
  <si>
    <t>mg shoot^-1 d^-1</t>
  </si>
  <si>
    <t>Loss of algal grazers</t>
  </si>
  <si>
    <t>36 days</t>
  </si>
  <si>
    <t>43 days</t>
  </si>
  <si>
    <t>62 days</t>
  </si>
  <si>
    <t>1988</t>
  </si>
  <si>
    <t>Water brownification may Elevate the invasibility of a submerged non-native macrophyte</t>
  </si>
  <si>
    <t>10.1007/s10530-012-0216-y</t>
  </si>
  <si>
    <t>Biol Invasions</t>
  </si>
  <si>
    <t>Sweden</t>
  </si>
  <si>
    <t>56 days</t>
  </si>
  <si>
    <t>d^-1</t>
  </si>
  <si>
    <t>Chara sp. ;  Potamogeton sp.; filamentous algae</t>
  </si>
  <si>
    <t>Effect of light and nutrients on interspecific interactions between submerged macrophytes: implications for restoration of multispecies aquatic vegetation in eutrophic lakes</t>
  </si>
  <si>
    <t>10.1007/s00343-022-2230-y</t>
  </si>
  <si>
    <t>Yiping WANG</t>
  </si>
  <si>
    <t>Journal of Oceanology and Limnology</t>
  </si>
  <si>
    <t>65 days</t>
  </si>
  <si>
    <t>2020</t>
  </si>
  <si>
    <t>Vallisneria natans + Potamogeton crispus</t>
  </si>
  <si>
    <t>The Ecophysiological Response of Two Invasive Submerged Plants to Light and Nitrogen</t>
  </si>
  <si>
    <t>10.3389/fpls.2019.01747</t>
  </si>
  <si>
    <t>Frontiers in plant science</t>
  </si>
  <si>
    <t>Hungary</t>
  </si>
  <si>
    <t>Water brownification may not promote invasions of submerged non-native macrophytes</t>
  </si>
  <si>
    <t>10.1007/s10750-017-3387-9</t>
  </si>
  <si>
    <t>Xuan Xu</t>
  </si>
  <si>
    <t>68 Days</t>
  </si>
  <si>
    <t>Increase turbidity</t>
  </si>
  <si>
    <t>Heat waves rather than continuous warming exacerbate impacts of nutrient loading and herbicides on aquatic ecosystems</t>
  </si>
  <si>
    <t>10.1016/j.envint.2022.107478</t>
  </si>
  <si>
    <t>Environment International</t>
  </si>
  <si>
    <t>Vallisneria denseserrulata; Hydrilla verticillata</t>
  </si>
  <si>
    <t>119 Days</t>
  </si>
  <si>
    <t>Heatwave</t>
  </si>
  <si>
    <t>Herbicides</t>
  </si>
  <si>
    <t>Periphytic algae mediate interactions between neighbor and target submerged macrophytes along a nutrient gradient</t>
  </si>
  <si>
    <t>10.1016/j.ecolind.2019.105898</t>
  </si>
  <si>
    <t>Beibei Hao</t>
  </si>
  <si>
    <t>Ecological Indicators</t>
  </si>
  <si>
    <t>Potamogeton perfoliatus</t>
  </si>
  <si>
    <t>82 Days</t>
  </si>
  <si>
    <t>Morphological responses of a submerged macrophyte to epiphyton</t>
  </si>
  <si>
    <t>10.1007/s10452-009-9291-2</t>
  </si>
  <si>
    <t>Munira Sultana?Takashi Asaeda?
M.Ekram Azim?Takeshi Fujino</t>
  </si>
  <si>
    <t>Springer Science Business Media</t>
  </si>
  <si>
    <t>Japan</t>
  </si>
  <si>
    <t>84 Days</t>
  </si>
  <si>
    <t>2002</t>
  </si>
  <si>
    <t>g DW/pot</t>
  </si>
  <si>
    <t>Add epiphyton</t>
  </si>
  <si>
    <t>Experimental evidence for enhanced top-down control of freshwater macrophytes with nutrient enrichment</t>
  </si>
  <si>
    <t>10.1007/s00442-014-3047-y</t>
  </si>
  <si>
    <t>Elisabeth S.Bakker</t>
  </si>
  <si>
    <t>Elodea nuttallii; Chara globularis Thuill.; Ceratophyllum demersum; Myriophyllum spicatum; Potamogeton pectinatus; Potamogeton perfoliatus; Ranunculus circinatus Sibth.</t>
  </si>
  <si>
    <t>66 Days</t>
  </si>
  <si>
    <t>g/m2</t>
  </si>
  <si>
    <t>Duck</t>
  </si>
  <si>
    <t>The Interactive Effects of Inorganic Carbon and Light on a Tropical Submerged Macrophyte: Egeria densa Planchon (Hydrocharitaceae)</t>
  </si>
  <si>
    <t>Arunothai Jampeetong</t>
  </si>
  <si>
    <t>Chiang Mai Journal of Science</t>
  </si>
  <si>
    <t>Thailand</t>
  </si>
  <si>
    <t>Egeria</t>
  </si>
  <si>
    <t>Increased dissolved CO2 (2000 vs 370 ppm)</t>
  </si>
  <si>
    <t>Hydrogen carbonate enrichment (1.7 vs 0.1 mM)</t>
  </si>
  <si>
    <t>CO2 enrichment x CO2 enrichment</t>
  </si>
  <si>
    <t>Temperature and salinity effects on submerged aquatic vegetation traits and susceptibility to grazing</t>
  </si>
  <si>
    <t>10.1016/j.aquabot.2019.05.004</t>
  </si>
  <si>
    <t>Serina Sebilian Wittyngham</t>
  </si>
  <si>
    <t>Stuckenia pectinata</t>
  </si>
  <si>
    <t>2015</t>
  </si>
  <si>
    <t>Salinity</t>
  </si>
  <si>
    <t>Response of Submerged Macrophyte Growth, Morphology, Chlorophyll Content and Nutrient Stoichiometry to Elevated Flow Velocity and Elevated CO2and Dissolved Organic Carbon Concentrations</t>
  </si>
  <si>
    <t>10.3389/fenvs.2020.527801</t>
  </si>
  <si>
    <t>Rosanne E.Reitsema</t>
  </si>
  <si>
    <t>Frontiers in Environmental Science</t>
  </si>
  <si>
    <t>134 Days</t>
  </si>
  <si>
    <t>2017&amp;2018</t>
  </si>
  <si>
    <t>Relative growth rate (DM)</t>
  </si>
  <si>
    <t>mg/g DM/d</t>
  </si>
  <si>
    <t>Increased DOC</t>
  </si>
  <si>
    <t>Light alterations x Hydraulic stressors</t>
  </si>
  <si>
    <t>Relative growth rate (FM)</t>
  </si>
  <si>
    <t>ratio</t>
  </si>
  <si>
    <t>Effects of salinity and light on growth and interspecific interactions between Myriophyllum spicatum L. and Ruppia maritima L.</t>
  </si>
  <si>
    <t>10.1016/j.aquabot.2019.02.007</t>
  </si>
  <si>
    <t>Eva R. Hillmann</t>
  </si>
  <si>
    <t>Ruppiaceae</t>
  </si>
  <si>
    <t>Ruppia</t>
  </si>
  <si>
    <t>Ruppia maritima</t>
  </si>
  <si>
    <t>Different responses of coexisting Chara species to foreseeable Mediterranean temperature and salinity Elevates</t>
  </si>
  <si>
    <t>10.1016/j.aquabot.2017.01.003</t>
  </si>
  <si>
    <t>Carmen Rojo</t>
  </si>
  <si>
    <t>Spain</t>
  </si>
  <si>
    <t>Characeae</t>
  </si>
  <si>
    <t>Chara</t>
  </si>
  <si>
    <t>Chara aspera</t>
  </si>
  <si>
    <t>percentage</t>
  </si>
  <si>
    <t>increased salinity</t>
  </si>
  <si>
    <t>increased light intensity</t>
  </si>
  <si>
    <t>Chara hispida</t>
  </si>
  <si>
    <t>Chara vulgaris</t>
  </si>
  <si>
    <t>Competition in a changing world: invasive aquatic plant is limited by saltwater encroachment</t>
  </si>
  <si>
    <t>10.1002/ecs2.4394</t>
  </si>
  <si>
    <t>Ashley M. McDonald</t>
  </si>
  <si>
    <t>Ecosphere</t>
  </si>
  <si>
    <t>132 days</t>
  </si>
  <si>
    <t>Effect of nutrients and salinity pulses on biomass and growth of Vallisneria americana in lower St Johns River, FL, USA</t>
  </si>
  <si>
    <t>10.1098/rsos.140053</t>
  </si>
  <si>
    <t>Ronald G. Boustany</t>
  </si>
  <si>
    <t>ROYAL SOCIET OPEN SCIENCE</t>
  </si>
  <si>
    <t>4.5 month</t>
  </si>
  <si>
    <t>2003</t>
  </si>
  <si>
    <t>The interaction of water flow and nutrients on aquatic plant growth</t>
  </si>
  <si>
    <t>10.1023/a:1023298302557</t>
  </si>
  <si>
    <t>Mark N. Crossley</t>
  </si>
  <si>
    <t>Australia</t>
  </si>
  <si>
    <t>Aponogetonaceae</t>
  </si>
  <si>
    <t>Aponogeton</t>
  </si>
  <si>
    <t>Aponogeton elongatus</t>
  </si>
  <si>
    <t>163 days</t>
  </si>
  <si>
    <t>1998</t>
  </si>
  <si>
    <t>increased flow velocity</t>
  </si>
  <si>
    <t>Effects of overabundant nitrate and warmer temperatures on charophytes: The roles of plasticity and local adaptation</t>
  </si>
  <si>
    <t>10.1016/j.aquabot.2018.01.003</t>
  </si>
  <si>
    <t>Eric Puche</t>
  </si>
  <si>
    <t>Effects of sediment and salinity on the growth and competitive abilities of three submersed macrophytes</t>
  </si>
  <si>
    <t>10.1016/j.aquabot.2016.03.005</t>
  </si>
  <si>
    <t>Kenneth A. Moore</t>
  </si>
  <si>
    <t>Pontederiaceae</t>
  </si>
  <si>
    <t>Heteranthera</t>
  </si>
  <si>
    <t>Heteranthera dubia</t>
  </si>
  <si>
    <t>11 weeks</t>
  </si>
  <si>
    <t>Multiple-stressor exposure of aquatic food webs: Nitrate and warming modulate the effect of pesticides</t>
  </si>
  <si>
    <t>10.1016/j.watres.2022.118325</t>
  </si>
  <si>
    <t>Vinita Vijayaraj</t>
  </si>
  <si>
    <t>Water Research</t>
  </si>
  <si>
    <t>Myriophyllum spicatum, Potamogeton perfoliatus, Elodea nuttallii</t>
  </si>
  <si>
    <t>4 weeks</t>
  </si>
  <si>
    <t>gDW</t>
  </si>
  <si>
    <t>Pesticides mixture</t>
  </si>
  <si>
    <t>Myriophyllum spicatum,  Potamogeton perfoliatus, Elodea nuttallii</t>
  </si>
  <si>
    <t>Are large macroalgal blooms necessarily bad? nutrient impacts on seagrass in upwelling-influenced estuaries</t>
  </si>
  <si>
    <t>10.1890/14-0548.1</t>
  </si>
  <si>
    <t>MARGOT L. HESSING-LEWIS</t>
  </si>
  <si>
    <t>Ecological Applications</t>
  </si>
  <si>
    <t>4 months</t>
  </si>
  <si>
    <t>The antagonistic effect of UV radiation on warming or nitrate enrichment depends on ecotypes of freshwater macroalgae (Charophytes)</t>
  </si>
  <si>
    <t>10.1111/jpy.12859</t>
  </si>
  <si>
    <t>Journal of Phycology</t>
  </si>
  <si>
    <t>Chara hispida, Chara vulgaris</t>
  </si>
  <si>
    <t>Utraviolet radiation</t>
  </si>
  <si>
    <t>Flooding interacting with clonal fragmentation affects the survival and growth of a key floodplain submerged macrophyte</t>
  </si>
  <si>
    <t>10.1007/s10750-017-3356-3</t>
  </si>
  <si>
    <t>Yu-Qin Han</t>
  </si>
  <si>
    <t>9 weeks</t>
  </si>
  <si>
    <t>Clonal fragmentation</t>
  </si>
  <si>
    <t>Deleterious interaction of light impairment and organic matter enrichment on Isoetes lacustris (Lycopodiophyta, Isoetales)</t>
  </si>
  <si>
    <t>10.1007/s10750-015-2321-2</t>
  </si>
  <si>
    <t>Eglantine Chappuis</t>
  </si>
  <si>
    <t>Isoetaceae</t>
  </si>
  <si>
    <t>Isoetes</t>
  </si>
  <si>
    <t>Isoetes lacustris</t>
  </si>
  <si>
    <t>74 days</t>
  </si>
  <si>
    <t>cm2</t>
  </si>
  <si>
    <t>2006</t>
  </si>
  <si>
    <t>Interference between the macroalga Caulerpa prolifera and the seagrass Halodule wrightii</t>
  </si>
  <si>
    <t>10.1016/j.aquabot.2005.06.003</t>
  </si>
  <si>
    <t>K.A. Taplin</t>
  </si>
  <si>
    <t>Caulerpaceae</t>
  </si>
  <si>
    <t>Caulerpa</t>
  </si>
  <si>
    <t>Caulerpa prolifera</t>
  </si>
  <si>
    <t>2000</t>
  </si>
  <si>
    <t>g?m-2</t>
  </si>
  <si>
    <t>Invasive species</t>
  </si>
  <si>
    <t>Cymodoceaceae</t>
  </si>
  <si>
    <t>Halodule</t>
  </si>
  <si>
    <t>Halodule wrightii</t>
  </si>
  <si>
    <t>Extrinsic factors influencing phlorotannin production in the brown alga Ascophyllum nodosum</t>
  </si>
  <si>
    <t>10.3354/meps193285</t>
  </si>
  <si>
    <t>Henrik Pavia</t>
  </si>
  <si>
    <t>Marine Ecology Progress Series</t>
  </si>
  <si>
    <t>Fucaceae</t>
  </si>
  <si>
    <t>Ascophyllum</t>
  </si>
  <si>
    <t>Ascophyllum nodosum</t>
  </si>
  <si>
    <t>1997</t>
  </si>
  <si>
    <t>increased direct grazers</t>
  </si>
  <si>
    <t>Growth and Anchorage of
Myriophyllum spicatum L. in Relation
to Water Depth and the Content of
Organic Matter in Sediment</t>
  </si>
  <si>
    <t>10.3389/fenvs.2021.766413</t>
  </si>
  <si>
    <t>Liang He</t>
  </si>
  <si>
    <t>g g-1 d-1</t>
  </si>
  <si>
    <t>g dw</t>
  </si>
  <si>
    <t>Microplastics with cadmium inhibit the growth of Vallisneria natans (Lour.) Hara rather than reduce cadmium toxicity</t>
  </si>
  <si>
    <t>10.1016/j.chemosphere.2020.128979</t>
  </si>
  <si>
    <t>Lei Wang</t>
  </si>
  <si>
    <t>Chemosphere</t>
  </si>
  <si>
    <t>Fresh mass</t>
  </si>
  <si>
    <t>Microplastic</t>
  </si>
  <si>
    <t>Cadmium</t>
  </si>
  <si>
    <t>Chemical pollutant x Chemical pollutant</t>
  </si>
  <si>
    <t>Single and combined toxicity of polystyrene nanoplastics and arsenic on submerged plant Myriophyllum verticillatum L.</t>
  </si>
  <si>
    <t>10.1016/j.plaphy.2022.12.008</t>
  </si>
  <si>
    <t>Jiantao Li</t>
  </si>
  <si>
    <t>Plant Physiology and Biochemistry</t>
  </si>
  <si>
    <t>Myriophyllum verticillatum</t>
  </si>
  <si>
    <t>24 days</t>
  </si>
  <si>
    <t>INFLUENCES OF NITROGEN AND PHOSPHORUS CONCENTRATION ON INTERACTIONS AMONG CHLORELLA VUGARIS,DAPHNIA MAGNA AND CERATOPHYLLUM DEMERSUM</t>
  </si>
  <si>
    <t>10.3724/SP.J.1035.2012.00066</t>
  </si>
  <si>
    <t>Shuai Ma</t>
  </si>
  <si>
    <t>Acta Hydrobiologica Sinica</t>
  </si>
  <si>
    <t>%</t>
  </si>
  <si>
    <t>Increased water phosphorus</t>
  </si>
  <si>
    <t>INFLUENCE OF PROPAGULE SIZE, SOIL FERTILITY, AND PHOTOPERIOD ON GROWTH AND PROPAGULE PRODUCTION BY 3 SPECIES OF SUBMERSED MACROPHYTES</t>
  </si>
  <si>
    <t>10.1007/bf03160666</t>
  </si>
  <si>
    <t>David F. Spencer</t>
  </si>
  <si>
    <t>WETLANDS</t>
  </si>
  <si>
    <t>Potamogeton pectinatus; Potamogeton gramineus L.; Hydrilla verticillata</t>
  </si>
  <si>
    <t>1995</t>
  </si>
  <si>
    <t>Photoperiod</t>
  </si>
  <si>
    <t>Multiple Stressors Simplify Freshwater Food Webs</t>
  </si>
  <si>
    <t>10.1111/gcb.70114</t>
  </si>
  <si>
    <t>10 months</t>
  </si>
  <si>
    <t>Insecticide</t>
  </si>
  <si>
    <t>Potamogeton crispus, Hydrilla verticillata</t>
  </si>
  <si>
    <t>Functional traits of exotic submerged macrophytes mediate diversity-invasibility relationship in freshwater communities under eutrophication</t>
  </si>
  <si>
    <t>10.1016/j.scitotenv.2024.175060</t>
  </si>
  <si>
    <t>Li, Xiaowei</t>
  </si>
  <si>
    <t>SCIENCE OF THE TOTAL ENVIRONMENT</t>
  </si>
  <si>
    <t>18 weeks</t>
  </si>
  <si>
    <t>2020-2022</t>
  </si>
  <si>
    <t>Shading (8% vs 25% PAR)</t>
  </si>
  <si>
    <t>Increased both water nitrogen and phosphorus (TN 6 vs 3; TP 0.30 vs 0.15 mg L-1)</t>
  </si>
  <si>
    <t>Light alterations x Nutrient enrichment</t>
  </si>
  <si>
    <t>Potamogeton wrightii</t>
  </si>
  <si>
    <t>Primary producers in freshwater ecosystem respond differently to multiple environmental stressors: A mesocosm study</t>
  </si>
  <si>
    <t>10.1016/j.envres.2025.121145</t>
  </si>
  <si>
    <t>Chen, Jianlin</t>
  </si>
  <si>
    <t>ENVIRONMENTAL RESEARCH</t>
  </si>
  <si>
    <t>MultipleSpecies</t>
  </si>
  <si>
    <t>111 days</t>
  </si>
  <si>
    <t>Glyphosate herbicide (50 µg L-1)</t>
  </si>
  <si>
    <t>Imidacloprid insecticide (50 µg L-1)</t>
  </si>
  <si>
    <t>Phosphorus loading and carp disturbance synergistically promote dominance of free-floating macrophytes over submerged plant competitors</t>
  </si>
  <si>
    <t>10.1016/j.ecolind.2025.114057</t>
  </si>
  <si>
    <t>Zhou, Rui</t>
  </si>
  <si>
    <t>ECOLOGICAL INDICATORS</t>
  </si>
  <si>
    <t>2023</t>
  </si>
  <si>
    <t>Increased water nitrogen (TN 8 vs 2 mg L-1)</t>
  </si>
  <si>
    <t>Increased water phosphorus (TP 0.30 vs 0.05 mg L-1)</t>
  </si>
  <si>
    <t>Fish disturbance (juvenile common carp)</t>
  </si>
  <si>
    <t>Submerged macrophytes can counterbalance the negative effects of rising temperature and eutrophication by inhibiting the photosynthetic activity of cyanobacteria and adjusting their morphology and physiology</t>
  </si>
  <si>
    <t>10.1111/fwb.14346</t>
  </si>
  <si>
    <t>Zhao, Yu</t>
  </si>
  <si>
    <t>FRESHWATER BIOLOGY</t>
  </si>
  <si>
    <t>20 days</t>
  </si>
  <si>
    <t>Increased water phosphorus (0.07 mg P L-1 added every 5 days)</t>
  </si>
  <si>
    <t>Warming (30 vs 25 °C daytime)</t>
  </si>
  <si>
    <t>day-1</t>
  </si>
  <si>
    <t>Growth Response of Submerged Macrophyte Vallisneria denseserrulata to Water Depth (Light Intensity) Changes Varies with Sediment Nutrient Level</t>
  </si>
  <si>
    <t>10.3390/w17131839</t>
  </si>
  <si>
    <t>Lin, Yudan</t>
  </si>
  <si>
    <t>WATER</t>
  </si>
  <si>
    <t>2022</t>
  </si>
  <si>
    <t>g.m-2</t>
  </si>
  <si>
    <t>Increased sediment nutrients (TN 1.52 vs 0.27; TP 0.77 vs 0.12 mg g-1)</t>
  </si>
  <si>
    <t>Increased depth (190 vs 50 cm)</t>
  </si>
  <si>
    <t>mg.g-1.day-1</t>
  </si>
  <si>
    <t>Effects of Salinity and Eutrophication Variations on the Growth of Myriophyllum spicatum</t>
  </si>
  <si>
    <t>10.3390/plants14213305</t>
  </si>
  <si>
    <t>Yin, Meiqi</t>
  </si>
  <si>
    <t>PLANTS-BASEL</t>
  </si>
  <si>
    <t>Increased water nitrogen (1.5 mg L-1 NH4-N)</t>
  </si>
  <si>
    <t>Salinity (5 g L-1)</t>
  </si>
  <si>
    <t>Increased water nitrogen (3 mg L-1 NH4-N)</t>
  </si>
  <si>
    <t>Nutrient and Light Interactions Shape Competitive Dynamics Between Two Co-Occurring Submerged Macrophytes</t>
  </si>
  <si>
    <t>10.1111/fwb.70147</t>
  </si>
  <si>
    <t>Yu, Weicheng</t>
  </si>
  <si>
    <t>3 months</t>
  </si>
  <si>
    <t>Increased both water nitrogen and phosphorus (TN 3; TP 0.2 mg L-1)</t>
  </si>
  <si>
    <t>Shading (78.4 vs 206.3 µmol m-2 s-1 PAR)</t>
  </si>
  <si>
    <t>Increased both water nitrogen and phosphorus (TN 8; TP 0.8 mg L-1)</t>
  </si>
  <si>
    <t>Effects of single and combined exposure of hexafluoropropylene oxide dimer acid (HFPO-DA ammonium salt, GenX) and virgin or aged polystyrene nanoplastics on the submerged macrophyte (Vallisneria natans)</t>
  </si>
  <si>
    <t>10.1016/j.envpol.2026.128005</t>
  </si>
  <si>
    <t>Yu, Gui</t>
  </si>
  <si>
    <t>ENVIRONMENTAL POLLUTION</t>
  </si>
  <si>
    <t>GenX (10 µg L-1)</t>
  </si>
  <si>
    <t>Microplastic (virgin PS nanoplastics, 1 mg L-1)</t>
  </si>
  <si>
    <t>Microplastic (aged PS nanoplastics, 1 mg L-1)</t>
  </si>
  <si>
    <t>Eutrophication and allochthonous dissolved organic carbon input alter macrophyte-phytoplankton interactions in shallow lakes: a mesocosm experiment</t>
  </si>
  <si>
    <t>10.1007/s10750-026-06293-x</t>
  </si>
  <si>
    <t>Zhang, Xinnan</t>
  </si>
  <si>
    <t>HYDROBIOLOGIA</t>
  </si>
  <si>
    <t>63 days</t>
  </si>
  <si>
    <t>Increased both water nitrogen and phosphorus (TN 3; TP 0.4 mg L-1)</t>
  </si>
  <si>
    <t>Increased DOC (30 mg L-1; D5 versus D1 = 2 mg L-1)</t>
  </si>
  <si>
    <t>Combined effects of light and nutrient supply on primary producers in subtropical shallow lakes: a microcosm study</t>
  </si>
  <si>
    <t>10.20103/j.stxb.202401180154</t>
  </si>
  <si>
    <t>Luo, Dong</t>
  </si>
  <si>
    <t>35 days</t>
  </si>
  <si>
    <t>Increased both water nitrogen and phosphorus (TN 1.8; TP 0.14 mg L-1)</t>
  </si>
  <si>
    <t>Shading (60% incident light)</t>
  </si>
  <si>
    <t>Shading (30% incident light)</t>
  </si>
  <si>
    <t>Interactive effects of nitrate pollution and heatwaves on the aquatic macrophytes</t>
  </si>
  <si>
    <t>10.1007/s10750-025-05902-5</t>
  </si>
  <si>
    <t>Akter, Sabiha</t>
  </si>
  <si>
    <t>6 weeks</t>
  </si>
  <si>
    <t>Increased water nitrogen (50 mg L-1 nitrate)</t>
  </si>
  <si>
    <t>Short moderate heatwave (24 °C)</t>
  </si>
  <si>
    <t>Long intense heatwave (26 °C)</t>
  </si>
  <si>
    <t>Increased water nitrogen (200 mg L-1 nitrate)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</si>
</sst>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19" fillId="33" borderId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0" applyFont="1" applyAlignment="1"/>
    <xf numFmtId="0" fontId="0" fillId="2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27"/>
  <sheetViews>
    <sheetView tabSelected="1" zoomScale="96" zoomScaleNormal="96" workbookViewId="0">
      <pane xSplit="2" ySplit="1" topLeftCell="AW126" activePane="bottomRight" state="frozen"/>
      <selection/>
      <selection pane="topRight"/>
      <selection pane="bottomLeft"/>
      <selection pane="bottomRight" activeCell="A4" sqref="$A4:$XFD227"/>
    </sheetView>
  </sheetViews>
  <sheetFormatPr defaultColWidth="9" defaultRowHeight="14"/>
  <cols>
    <col min="1" max="1" width="10" style="1" customWidth="1"/>
    <col min="2" max="2" width="14" style="1" customWidth="1"/>
    <col min="3" max="3" width="64" style="1" customWidth="1"/>
    <col min="4" max="4" width="35" style="1" customWidth="1"/>
    <col min="5" max="13" width="18" style="1" customWidth="1"/>
    <col min="14" max="14" width="38" style="1" customWidth="1"/>
    <col min="15" max="50" width="18" style="1" customWidth="1"/>
    <col min="51" max="51" width="48" style="1" customWidth="1"/>
    <col min="52" max="76" width="18" style="1" customWidth="1"/>
  </cols>
  <sheetData>
    <row r="1" s="1" customFormat="1" ht="15" customHeight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="1" customFormat="1" ht="15" customHeight="1" spans="1:76">
      <c r="A2">
        <v>1</v>
      </c>
      <c r="B2">
        <v>1</v>
      </c>
      <c r="C2" t="s">
        <v>76</v>
      </c>
      <c r="D2" t="s">
        <v>77</v>
      </c>
      <c r="E2">
        <v>2005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84</v>
      </c>
      <c r="N2" t="s">
        <v>84</v>
      </c>
      <c r="O2" t="s">
        <v>84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>
        <v>38.648422</v>
      </c>
      <c r="AG2">
        <v>-90.305115</v>
      </c>
      <c r="AH2" t="s">
        <v>85</v>
      </c>
      <c r="AI2">
        <v>1095</v>
      </c>
      <c r="AJ2">
        <v>1000</v>
      </c>
      <c r="AK2" t="s">
        <v>86</v>
      </c>
      <c r="AL2">
        <v>30</v>
      </c>
      <c r="AM2">
        <v>5</v>
      </c>
      <c r="AN2" t="s">
        <v>87</v>
      </c>
      <c r="AO2" t="s">
        <v>87</v>
      </c>
      <c r="AP2" t="s">
        <v>88</v>
      </c>
      <c r="AQ2" t="s">
        <v>89</v>
      </c>
      <c r="AR2" t="s">
        <v>89</v>
      </c>
      <c r="AS2" t="s">
        <v>82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>
        <v>69.58333333</v>
      </c>
      <c r="BA2">
        <v>5</v>
      </c>
      <c r="BB2">
        <v>5</v>
      </c>
      <c r="BC2">
        <v>10.16666667</v>
      </c>
      <c r="BD2">
        <v>2.25</v>
      </c>
      <c r="BE2">
        <v>5</v>
      </c>
      <c r="BF2">
        <v>60.66666667</v>
      </c>
      <c r="BG2">
        <v>8.916666667</v>
      </c>
      <c r="BH2">
        <v>5</v>
      </c>
      <c r="BI2">
        <v>55.16666667</v>
      </c>
      <c r="BJ2">
        <v>11.58333333</v>
      </c>
      <c r="BK2">
        <v>5</v>
      </c>
      <c r="BL2"/>
      <c r="BM2"/>
      <c r="BN2"/>
      <c r="BO2"/>
      <c r="BP2"/>
      <c r="BQ2"/>
      <c r="BR2"/>
      <c r="BS2"/>
      <c r="BT2"/>
      <c r="BU2"/>
      <c r="BV2"/>
      <c r="BW2"/>
      <c r="BX2"/>
    </row>
    <row r="3" s="1" customFormat="1" ht="15" customHeight="1" spans="1:76">
      <c r="A3">
        <v>1</v>
      </c>
      <c r="B3">
        <v>2</v>
      </c>
      <c r="C3" t="s">
        <v>76</v>
      </c>
      <c r="D3" t="s">
        <v>77</v>
      </c>
      <c r="E3">
        <v>2005</v>
      </c>
      <c r="F3" t="s">
        <v>78</v>
      </c>
      <c r="G3" t="s">
        <v>79</v>
      </c>
      <c r="H3" t="s">
        <v>80</v>
      </c>
      <c r="I3" t="s">
        <v>81</v>
      </c>
      <c r="J3" t="s">
        <v>96</v>
      </c>
      <c r="K3" t="s">
        <v>9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/>
      <c r="U3"/>
      <c r="V3">
        <v>2</v>
      </c>
      <c r="W3"/>
      <c r="X3"/>
      <c r="Y3"/>
      <c r="Z3"/>
      <c r="AA3"/>
      <c r="AB3" t="s">
        <v>105</v>
      </c>
      <c r="AC3"/>
      <c r="AD3"/>
      <c r="AE3"/>
      <c r="AF3">
        <v>38.648422</v>
      </c>
      <c r="AG3">
        <v>-90.305115</v>
      </c>
      <c r="AH3" t="s">
        <v>85</v>
      </c>
      <c r="AI3">
        <v>1095</v>
      </c>
      <c r="AJ3">
        <v>1000</v>
      </c>
      <c r="AK3" t="s">
        <v>86</v>
      </c>
      <c r="AL3">
        <v>30</v>
      </c>
      <c r="AM3">
        <v>5</v>
      </c>
      <c r="AN3" t="s">
        <v>87</v>
      </c>
      <c r="AO3" t="s">
        <v>87</v>
      </c>
      <c r="AP3" t="s">
        <v>88</v>
      </c>
      <c r="AQ3" t="s">
        <v>89</v>
      </c>
      <c r="AR3" t="s">
        <v>89</v>
      </c>
      <c r="AS3" t="s">
        <v>82</v>
      </c>
      <c r="AT3" t="s">
        <v>90</v>
      </c>
      <c r="AU3" t="s">
        <v>91</v>
      </c>
      <c r="AV3" t="s">
        <v>92</v>
      </c>
      <c r="AW3" t="s">
        <v>93</v>
      </c>
      <c r="AX3" t="s">
        <v>94</v>
      </c>
      <c r="AY3" t="s">
        <v>95</v>
      </c>
      <c r="AZ3">
        <v>0.09489917</v>
      </c>
      <c r="BA3">
        <v>1.328588375</v>
      </c>
      <c r="BB3">
        <v>5</v>
      </c>
      <c r="BC3">
        <v>60.54567023</v>
      </c>
      <c r="BD3">
        <v>9.489916963</v>
      </c>
      <c r="BE3">
        <v>5</v>
      </c>
      <c r="BF3">
        <v>1.043890866</v>
      </c>
      <c r="BG3">
        <v>1.992882562</v>
      </c>
      <c r="BH3">
        <v>5</v>
      </c>
      <c r="BI3">
        <v>4.650059312</v>
      </c>
      <c r="BJ3">
        <v>2.752075919</v>
      </c>
      <c r="BK3">
        <v>5</v>
      </c>
      <c r="BL3"/>
      <c r="BM3"/>
      <c r="BN3"/>
      <c r="BO3"/>
      <c r="BP3"/>
      <c r="BQ3"/>
      <c r="BR3"/>
      <c r="BS3"/>
      <c r="BT3"/>
      <c r="BU3"/>
      <c r="BV3"/>
      <c r="BW3"/>
      <c r="BX3"/>
    </row>
    <row r="4" s="1" customFormat="1" ht="15" customHeight="1" spans="1:76">
      <c r="A4">
        <v>3</v>
      </c>
      <c r="B4">
        <v>4</v>
      </c>
      <c r="C4" t="s">
        <v>106</v>
      </c>
      <c r="D4" t="s">
        <v>107</v>
      </c>
      <c r="E4">
        <v>2012</v>
      </c>
      <c r="F4" t="s">
        <v>108</v>
      </c>
      <c r="G4" t="s">
        <v>109</v>
      </c>
      <c r="H4" t="s">
        <v>80</v>
      </c>
      <c r="I4" t="s">
        <v>110</v>
      </c>
      <c r="J4" t="s">
        <v>96</v>
      </c>
      <c r="K4" t="s">
        <v>9</v>
      </c>
      <c r="L4" t="s">
        <v>97</v>
      </c>
      <c r="M4" t="s">
        <v>98</v>
      </c>
      <c r="N4" t="s">
        <v>111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/>
      <c r="U4"/>
      <c r="V4"/>
      <c r="W4"/>
      <c r="X4"/>
      <c r="Y4"/>
      <c r="Z4"/>
      <c r="AA4"/>
      <c r="AB4"/>
      <c r="AC4"/>
      <c r="AD4"/>
      <c r="AE4"/>
      <c r="AF4">
        <v>30.50595</v>
      </c>
      <c r="AG4">
        <v>114.356635</v>
      </c>
      <c r="AH4" t="s">
        <v>114</v>
      </c>
      <c r="AI4">
        <v>90</v>
      </c>
      <c r="AJ4">
        <v>6</v>
      </c>
      <c r="AK4" t="s">
        <v>115</v>
      </c>
      <c r="AL4">
        <v>36</v>
      </c>
      <c r="AM4">
        <v>3</v>
      </c>
      <c r="AN4" t="s">
        <v>116</v>
      </c>
      <c r="AO4" t="s">
        <v>117</v>
      </c>
      <c r="AP4" t="s">
        <v>118</v>
      </c>
      <c r="AQ4" t="s">
        <v>89</v>
      </c>
      <c r="AR4" t="s">
        <v>89</v>
      </c>
      <c r="AS4" t="s">
        <v>82</v>
      </c>
      <c r="AT4" t="s">
        <v>90</v>
      </c>
      <c r="AU4" t="s">
        <v>119</v>
      </c>
      <c r="AV4" t="s">
        <v>120</v>
      </c>
      <c r="AW4" t="s">
        <v>93</v>
      </c>
      <c r="AX4" t="s">
        <v>121</v>
      </c>
      <c r="AY4" t="s">
        <v>95</v>
      </c>
      <c r="AZ4">
        <v>0.01795122</v>
      </c>
      <c r="BA4">
        <v>0.000936585</v>
      </c>
      <c r="BB4">
        <v>3</v>
      </c>
      <c r="BC4">
        <v>0.004526829</v>
      </c>
      <c r="BD4">
        <v>0.000780488</v>
      </c>
      <c r="BE4">
        <v>3</v>
      </c>
      <c r="BF4">
        <v>0.129404878</v>
      </c>
      <c r="BG4">
        <v>0.014985366</v>
      </c>
      <c r="BH4">
        <v>3</v>
      </c>
      <c r="BI4">
        <v>0.032</v>
      </c>
      <c r="BJ4">
        <v>0.002809756</v>
      </c>
      <c r="BK4">
        <v>3</v>
      </c>
      <c r="BL4"/>
      <c r="BM4"/>
      <c r="BN4"/>
      <c r="BO4"/>
      <c r="BP4"/>
      <c r="BQ4"/>
      <c r="BR4"/>
      <c r="BS4"/>
      <c r="BT4"/>
      <c r="BU4"/>
      <c r="BV4"/>
      <c r="BW4"/>
      <c r="BX4"/>
    </row>
    <row r="5" s="1" customFormat="1" ht="15" customHeight="1" spans="1:76">
      <c r="A5">
        <v>4</v>
      </c>
      <c r="B5">
        <v>5</v>
      </c>
      <c r="C5" t="s">
        <v>122</v>
      </c>
      <c r="D5" t="s">
        <v>123</v>
      </c>
      <c r="E5">
        <v>2010</v>
      </c>
      <c r="F5" t="s">
        <v>124</v>
      </c>
      <c r="G5" t="s">
        <v>125</v>
      </c>
      <c r="H5" t="s">
        <v>80</v>
      </c>
      <c r="I5" t="s">
        <v>110</v>
      </c>
      <c r="J5" t="s">
        <v>96</v>
      </c>
      <c r="K5" t="s">
        <v>9</v>
      </c>
      <c r="L5" t="s">
        <v>126</v>
      </c>
      <c r="M5" t="s">
        <v>127</v>
      </c>
      <c r="N5" t="s">
        <v>128</v>
      </c>
      <c r="O5" t="s">
        <v>112</v>
      </c>
      <c r="P5" t="s">
        <v>101</v>
      </c>
      <c r="Q5" t="s">
        <v>102</v>
      </c>
      <c r="R5" t="s">
        <v>129</v>
      </c>
      <c r="S5" t="s">
        <v>104</v>
      </c>
      <c r="T5"/>
      <c r="U5"/>
      <c r="V5"/>
      <c r="W5"/>
      <c r="X5"/>
      <c r="Y5"/>
      <c r="Z5"/>
      <c r="AA5"/>
      <c r="AB5"/>
      <c r="AC5"/>
      <c r="AD5"/>
      <c r="AE5"/>
      <c r="AF5">
        <v>34.8085</v>
      </c>
      <c r="AG5">
        <v>117.1243</v>
      </c>
      <c r="AH5" t="s">
        <v>130</v>
      </c>
      <c r="AI5">
        <v>15</v>
      </c>
      <c r="AJ5">
        <v>17.38</v>
      </c>
      <c r="AK5" t="s">
        <v>86</v>
      </c>
      <c r="AL5">
        <v>24</v>
      </c>
      <c r="AM5">
        <v>4</v>
      </c>
      <c r="AN5" t="s">
        <v>131</v>
      </c>
      <c r="AO5" t="s">
        <v>87</v>
      </c>
      <c r="AP5" t="s">
        <v>132</v>
      </c>
      <c r="AQ5" t="s">
        <v>89</v>
      </c>
      <c r="AR5" t="s">
        <v>89</v>
      </c>
      <c r="AS5" t="s">
        <v>82</v>
      </c>
      <c r="AT5" t="s">
        <v>133</v>
      </c>
      <c r="AU5" t="s">
        <v>93</v>
      </c>
      <c r="AV5" t="s">
        <v>121</v>
      </c>
      <c r="AW5" t="s">
        <v>91</v>
      </c>
      <c r="AX5" t="s">
        <v>134</v>
      </c>
      <c r="AY5" t="s">
        <v>95</v>
      </c>
      <c r="AZ5">
        <v>122.5680934</v>
      </c>
      <c r="BA5">
        <v>103.5019455</v>
      </c>
      <c r="BB5">
        <v>4</v>
      </c>
      <c r="BC5">
        <v>182.8793774</v>
      </c>
      <c r="BD5">
        <v>33.46303502</v>
      </c>
      <c r="BE5">
        <v>4</v>
      </c>
      <c r="BF5">
        <v>299.2217899</v>
      </c>
      <c r="BG5">
        <v>87.93774319</v>
      </c>
      <c r="BH5">
        <v>4</v>
      </c>
      <c r="BI5">
        <v>171.9844358</v>
      </c>
      <c r="BJ5">
        <v>21.01167315</v>
      </c>
      <c r="BK5">
        <v>4</v>
      </c>
      <c r="BL5"/>
      <c r="BM5"/>
      <c r="BN5"/>
      <c r="BO5"/>
      <c r="BP5"/>
      <c r="BQ5"/>
      <c r="BR5"/>
      <c r="BS5"/>
      <c r="BT5"/>
      <c r="BU5"/>
      <c r="BV5"/>
      <c r="BW5"/>
      <c r="BX5"/>
    </row>
    <row r="6" s="1" customFormat="1" ht="15" customHeight="1" spans="1:76">
      <c r="A6">
        <v>4</v>
      </c>
      <c r="B6">
        <v>6</v>
      </c>
      <c r="C6" t="s">
        <v>122</v>
      </c>
      <c r="D6" t="s">
        <v>123</v>
      </c>
      <c r="E6">
        <v>2010</v>
      </c>
      <c r="F6" t="s">
        <v>124</v>
      </c>
      <c r="G6" t="s">
        <v>125</v>
      </c>
      <c r="H6" t="s">
        <v>80</v>
      </c>
      <c r="I6" t="s">
        <v>110</v>
      </c>
      <c r="J6" t="s">
        <v>96</v>
      </c>
      <c r="K6" t="s">
        <v>9</v>
      </c>
      <c r="L6" t="s">
        <v>126</v>
      </c>
      <c r="M6" t="s">
        <v>127</v>
      </c>
      <c r="N6" t="s">
        <v>128</v>
      </c>
      <c r="O6" t="s">
        <v>112</v>
      </c>
      <c r="P6" t="s">
        <v>101</v>
      </c>
      <c r="Q6" t="s">
        <v>102</v>
      </c>
      <c r="R6" t="s">
        <v>129</v>
      </c>
      <c r="S6" t="s">
        <v>104</v>
      </c>
      <c r="T6"/>
      <c r="U6"/>
      <c r="V6"/>
      <c r="W6"/>
      <c r="X6"/>
      <c r="Y6"/>
      <c r="Z6"/>
      <c r="AA6"/>
      <c r="AB6"/>
      <c r="AC6"/>
      <c r="AD6"/>
      <c r="AE6"/>
      <c r="AF6">
        <v>34.8085</v>
      </c>
      <c r="AG6">
        <v>117.1243</v>
      </c>
      <c r="AH6" t="s">
        <v>130</v>
      </c>
      <c r="AI6">
        <v>15</v>
      </c>
      <c r="AJ6">
        <v>17.38</v>
      </c>
      <c r="AK6" t="s">
        <v>86</v>
      </c>
      <c r="AL6">
        <v>24</v>
      </c>
      <c r="AM6">
        <v>4</v>
      </c>
      <c r="AN6" t="s">
        <v>131</v>
      </c>
      <c r="AO6" t="s">
        <v>87</v>
      </c>
      <c r="AP6" t="s">
        <v>132</v>
      </c>
      <c r="AQ6" t="s">
        <v>89</v>
      </c>
      <c r="AR6" t="s">
        <v>89</v>
      </c>
      <c r="AS6" t="s">
        <v>82</v>
      </c>
      <c r="AT6" t="s">
        <v>133</v>
      </c>
      <c r="AU6" t="s">
        <v>93</v>
      </c>
      <c r="AV6" t="s">
        <v>121</v>
      </c>
      <c r="AW6" t="s">
        <v>91</v>
      </c>
      <c r="AX6" t="s">
        <v>134</v>
      </c>
      <c r="AY6" t="s">
        <v>95</v>
      </c>
      <c r="AZ6">
        <v>3.102189781</v>
      </c>
      <c r="BA6">
        <v>7.810218978</v>
      </c>
      <c r="BB6">
        <v>4</v>
      </c>
      <c r="BC6">
        <v>5.98540146</v>
      </c>
      <c r="BD6">
        <v>3.102189781</v>
      </c>
      <c r="BE6">
        <v>4</v>
      </c>
      <c r="BF6">
        <v>3.667883212</v>
      </c>
      <c r="BG6">
        <v>4.927007299</v>
      </c>
      <c r="BH6">
        <v>4</v>
      </c>
      <c r="BI6">
        <v>0.03649635</v>
      </c>
      <c r="BJ6">
        <v>0.001</v>
      </c>
      <c r="BK6">
        <v>4</v>
      </c>
      <c r="BL6"/>
      <c r="BM6"/>
      <c r="BN6"/>
      <c r="BO6"/>
      <c r="BP6"/>
      <c r="BQ6"/>
      <c r="BR6"/>
      <c r="BS6"/>
      <c r="BT6"/>
      <c r="BU6"/>
      <c r="BV6"/>
      <c r="BW6"/>
      <c r="BX6"/>
    </row>
    <row r="7" s="1" customFormat="1" ht="15" customHeight="1" spans="1:76">
      <c r="A7">
        <v>4</v>
      </c>
      <c r="B7">
        <v>7</v>
      </c>
      <c r="C7" t="s">
        <v>122</v>
      </c>
      <c r="D7" t="s">
        <v>123</v>
      </c>
      <c r="E7">
        <v>2010</v>
      </c>
      <c r="F7" t="s">
        <v>124</v>
      </c>
      <c r="G7" t="s">
        <v>125</v>
      </c>
      <c r="H7" t="s">
        <v>80</v>
      </c>
      <c r="I7" t="s">
        <v>110</v>
      </c>
      <c r="J7" t="s">
        <v>96</v>
      </c>
      <c r="K7" t="s">
        <v>9</v>
      </c>
      <c r="L7" t="s">
        <v>126</v>
      </c>
      <c r="M7" t="s">
        <v>127</v>
      </c>
      <c r="N7" t="s">
        <v>128</v>
      </c>
      <c r="O7" t="s">
        <v>112</v>
      </c>
      <c r="P7" t="s">
        <v>101</v>
      </c>
      <c r="Q7" t="s">
        <v>102</v>
      </c>
      <c r="R7" t="s">
        <v>129</v>
      </c>
      <c r="S7" t="s">
        <v>104</v>
      </c>
      <c r="T7"/>
      <c r="U7"/>
      <c r="V7"/>
      <c r="W7"/>
      <c r="X7"/>
      <c r="Y7"/>
      <c r="Z7"/>
      <c r="AA7"/>
      <c r="AB7"/>
      <c r="AC7"/>
      <c r="AD7"/>
      <c r="AE7"/>
      <c r="AF7">
        <v>34.8085</v>
      </c>
      <c r="AG7">
        <v>117.1243</v>
      </c>
      <c r="AH7" t="s">
        <v>130</v>
      </c>
      <c r="AI7">
        <v>15</v>
      </c>
      <c r="AJ7">
        <v>17.38</v>
      </c>
      <c r="AK7" t="s">
        <v>86</v>
      </c>
      <c r="AL7">
        <v>24</v>
      </c>
      <c r="AM7">
        <v>4</v>
      </c>
      <c r="AN7" t="s">
        <v>131</v>
      </c>
      <c r="AO7" t="s">
        <v>87</v>
      </c>
      <c r="AP7" t="s">
        <v>132</v>
      </c>
      <c r="AQ7" t="s">
        <v>89</v>
      </c>
      <c r="AR7" t="s">
        <v>135</v>
      </c>
      <c r="AS7" t="s">
        <v>82</v>
      </c>
      <c r="AT7" t="s">
        <v>133</v>
      </c>
      <c r="AU7" t="s">
        <v>93</v>
      </c>
      <c r="AV7" t="s">
        <v>121</v>
      </c>
      <c r="AW7" t="s">
        <v>91</v>
      </c>
      <c r="AX7" t="s">
        <v>134</v>
      </c>
      <c r="AY7" t="s">
        <v>95</v>
      </c>
      <c r="AZ7">
        <v>67.35798016</v>
      </c>
      <c r="BA7">
        <v>56.26690712</v>
      </c>
      <c r="BB7">
        <v>4</v>
      </c>
      <c r="BC7">
        <v>116.5915239</v>
      </c>
      <c r="BD7">
        <v>14.06672678</v>
      </c>
      <c r="BE7">
        <v>4</v>
      </c>
      <c r="BF7">
        <v>215.5996393</v>
      </c>
      <c r="BG7">
        <v>93.59783589</v>
      </c>
      <c r="BH7">
        <v>4</v>
      </c>
      <c r="BI7">
        <v>106.0414788</v>
      </c>
      <c r="BJ7">
        <v>17.85392245</v>
      </c>
      <c r="BK7">
        <v>4</v>
      </c>
      <c r="BL7"/>
      <c r="BM7"/>
      <c r="BN7"/>
      <c r="BO7"/>
      <c r="BP7"/>
      <c r="BQ7"/>
      <c r="BR7"/>
      <c r="BS7"/>
      <c r="BT7"/>
      <c r="BU7"/>
      <c r="BV7"/>
      <c r="BW7"/>
      <c r="BX7"/>
    </row>
    <row r="8" s="1" customFormat="1" ht="15" customHeight="1" spans="1:76">
      <c r="A8">
        <v>4</v>
      </c>
      <c r="B8">
        <v>8</v>
      </c>
      <c r="C8" t="s">
        <v>122</v>
      </c>
      <c r="D8" t="s">
        <v>123</v>
      </c>
      <c r="E8">
        <v>2010</v>
      </c>
      <c r="F8" t="s">
        <v>124</v>
      </c>
      <c r="G8" t="s">
        <v>125</v>
      </c>
      <c r="H8" t="s">
        <v>80</v>
      </c>
      <c r="I8" t="s">
        <v>110</v>
      </c>
      <c r="J8" t="s">
        <v>96</v>
      </c>
      <c r="K8" t="s">
        <v>9</v>
      </c>
      <c r="L8" t="s">
        <v>126</v>
      </c>
      <c r="M8" t="s">
        <v>127</v>
      </c>
      <c r="N8" t="s">
        <v>128</v>
      </c>
      <c r="O8" t="s">
        <v>112</v>
      </c>
      <c r="P8" t="s">
        <v>101</v>
      </c>
      <c r="Q8" t="s">
        <v>102</v>
      </c>
      <c r="R8" t="s">
        <v>129</v>
      </c>
      <c r="S8" t="s">
        <v>104</v>
      </c>
      <c r="T8"/>
      <c r="U8"/>
      <c r="V8"/>
      <c r="W8"/>
      <c r="X8"/>
      <c r="Y8"/>
      <c r="Z8"/>
      <c r="AA8"/>
      <c r="AB8"/>
      <c r="AC8"/>
      <c r="AD8"/>
      <c r="AE8"/>
      <c r="AF8">
        <v>34.8085</v>
      </c>
      <c r="AG8">
        <v>117.1243</v>
      </c>
      <c r="AH8" t="s">
        <v>130</v>
      </c>
      <c r="AI8">
        <v>15</v>
      </c>
      <c r="AJ8">
        <v>17.38</v>
      </c>
      <c r="AK8" t="s">
        <v>86</v>
      </c>
      <c r="AL8">
        <v>24</v>
      </c>
      <c r="AM8">
        <v>4</v>
      </c>
      <c r="AN8" t="s">
        <v>131</v>
      </c>
      <c r="AO8" t="s">
        <v>87</v>
      </c>
      <c r="AP8" t="s">
        <v>132</v>
      </c>
      <c r="AQ8" t="s">
        <v>89</v>
      </c>
      <c r="AR8" t="s">
        <v>136</v>
      </c>
      <c r="AS8" t="s">
        <v>82</v>
      </c>
      <c r="AT8" t="s">
        <v>133</v>
      </c>
      <c r="AU8" t="s">
        <v>93</v>
      </c>
      <c r="AV8" t="s">
        <v>121</v>
      </c>
      <c r="AW8" t="s">
        <v>91</v>
      </c>
      <c r="AX8" t="s">
        <v>134</v>
      </c>
      <c r="AY8" t="s">
        <v>95</v>
      </c>
      <c r="AZ8">
        <v>50.17021277</v>
      </c>
      <c r="BA8">
        <v>41.87234043</v>
      </c>
      <c r="BB8">
        <v>4</v>
      </c>
      <c r="BC8">
        <v>59.23404255</v>
      </c>
      <c r="BD8">
        <v>4.595744681</v>
      </c>
      <c r="BE8">
        <v>4</v>
      </c>
      <c r="BF8">
        <v>78.25531915</v>
      </c>
      <c r="BG8">
        <v>8.936170213</v>
      </c>
      <c r="BH8">
        <v>4</v>
      </c>
      <c r="BI8">
        <v>65.4893617</v>
      </c>
      <c r="BJ8">
        <v>29.61702128</v>
      </c>
      <c r="BK8">
        <v>4</v>
      </c>
      <c r="BL8"/>
      <c r="BM8"/>
      <c r="BN8"/>
      <c r="BO8"/>
      <c r="BP8"/>
      <c r="BQ8"/>
      <c r="BR8"/>
      <c r="BS8"/>
      <c r="BT8"/>
      <c r="BU8"/>
      <c r="BV8"/>
      <c r="BW8"/>
      <c r="BX8"/>
    </row>
    <row r="9" s="1" customFormat="1" ht="15" customHeight="1" spans="1:76">
      <c r="A9">
        <v>5</v>
      </c>
      <c r="B9">
        <v>9</v>
      </c>
      <c r="C9" t="s">
        <v>137</v>
      </c>
      <c r="D9" t="s">
        <v>138</v>
      </c>
      <c r="E9">
        <v>2008</v>
      </c>
      <c r="F9" t="s">
        <v>124</v>
      </c>
      <c r="G9" t="s">
        <v>139</v>
      </c>
      <c r="H9" t="s">
        <v>140</v>
      </c>
      <c r="I9" t="s">
        <v>110</v>
      </c>
      <c r="J9" t="s">
        <v>96</v>
      </c>
      <c r="K9" t="s">
        <v>9</v>
      </c>
      <c r="L9" t="s">
        <v>97</v>
      </c>
      <c r="M9" t="s">
        <v>98</v>
      </c>
      <c r="N9" t="s">
        <v>99</v>
      </c>
      <c r="O9" t="s">
        <v>112</v>
      </c>
      <c r="P9" t="s">
        <v>101</v>
      </c>
      <c r="Q9" t="s">
        <v>102</v>
      </c>
      <c r="R9" t="s">
        <v>103</v>
      </c>
      <c r="S9" t="s">
        <v>104</v>
      </c>
      <c r="T9"/>
      <c r="U9"/>
      <c r="V9"/>
      <c r="W9"/>
      <c r="X9"/>
      <c r="Y9"/>
      <c r="Z9"/>
      <c r="AA9"/>
      <c r="AB9"/>
      <c r="AC9"/>
      <c r="AD9"/>
      <c r="AE9"/>
      <c r="AF9">
        <v>32.05595</v>
      </c>
      <c r="AG9">
        <v>118.780197</v>
      </c>
      <c r="AH9" t="s">
        <v>141</v>
      </c>
      <c r="AI9">
        <v>21</v>
      </c>
      <c r="AJ9">
        <v>2.24</v>
      </c>
      <c r="AK9" t="s">
        <v>86</v>
      </c>
      <c r="AL9">
        <v>27</v>
      </c>
      <c r="AM9">
        <v>3</v>
      </c>
      <c r="AN9" t="s">
        <v>131</v>
      </c>
      <c r="AO9" t="s">
        <v>87</v>
      </c>
      <c r="AP9" t="s">
        <v>142</v>
      </c>
      <c r="AQ9" t="s">
        <v>89</v>
      </c>
      <c r="AR9" t="s">
        <v>143</v>
      </c>
      <c r="AS9" t="s">
        <v>82</v>
      </c>
      <c r="AT9" t="s">
        <v>133</v>
      </c>
      <c r="AU9" t="s">
        <v>93</v>
      </c>
      <c r="AV9" t="s">
        <v>121</v>
      </c>
      <c r="AW9" t="s">
        <v>91</v>
      </c>
      <c r="AX9" t="s">
        <v>134</v>
      </c>
      <c r="AY9" t="s">
        <v>95</v>
      </c>
      <c r="AZ9">
        <v>213.5306554</v>
      </c>
      <c r="BA9">
        <v>34.78748979</v>
      </c>
      <c r="BB9">
        <v>3</v>
      </c>
      <c r="BC9">
        <v>101.4799154</v>
      </c>
      <c r="BD9">
        <v>16.47828464</v>
      </c>
      <c r="BE9">
        <v>3</v>
      </c>
      <c r="BF9">
        <v>117.8646934</v>
      </c>
      <c r="BG9">
        <v>15.56282438</v>
      </c>
      <c r="BH9">
        <v>3</v>
      </c>
      <c r="BI9">
        <v>124.2071882</v>
      </c>
      <c r="BJ9">
        <v>27.46380773</v>
      </c>
      <c r="BK9">
        <v>3</v>
      </c>
      <c r="BL9"/>
      <c r="BM9"/>
      <c r="BN9"/>
      <c r="BO9"/>
      <c r="BP9"/>
      <c r="BQ9"/>
      <c r="BR9"/>
      <c r="BS9"/>
      <c r="BT9"/>
      <c r="BU9"/>
      <c r="BV9"/>
      <c r="BW9"/>
      <c r="BX9"/>
    </row>
    <row r="10" s="1" customFormat="1" ht="15" customHeight="1" spans="1:76">
      <c r="A10">
        <v>5</v>
      </c>
      <c r="B10">
        <v>10</v>
      </c>
      <c r="C10" t="s">
        <v>137</v>
      </c>
      <c r="D10" t="s">
        <v>138</v>
      </c>
      <c r="E10">
        <v>2008</v>
      </c>
      <c r="F10" t="s">
        <v>124</v>
      </c>
      <c r="G10" t="s">
        <v>139</v>
      </c>
      <c r="H10" t="s">
        <v>140</v>
      </c>
      <c r="I10" t="s">
        <v>110</v>
      </c>
      <c r="J10" t="s">
        <v>96</v>
      </c>
      <c r="K10" t="s">
        <v>9</v>
      </c>
      <c r="L10" t="s">
        <v>97</v>
      </c>
      <c r="M10" t="s">
        <v>98</v>
      </c>
      <c r="N10" t="s">
        <v>99</v>
      </c>
      <c r="O10" t="s">
        <v>112</v>
      </c>
      <c r="P10" t="s">
        <v>101</v>
      </c>
      <c r="Q10" t="s">
        <v>102</v>
      </c>
      <c r="R10" t="s">
        <v>103</v>
      </c>
      <c r="S10" t="s">
        <v>104</v>
      </c>
      <c r="T10"/>
      <c r="U10"/>
      <c r="V10"/>
      <c r="W10"/>
      <c r="X10"/>
      <c r="Y10"/>
      <c r="Z10"/>
      <c r="AA10"/>
      <c r="AB10"/>
      <c r="AC10"/>
      <c r="AD10"/>
      <c r="AE10"/>
      <c r="AF10">
        <v>32.05595</v>
      </c>
      <c r="AG10">
        <v>118.780197</v>
      </c>
      <c r="AH10" t="s">
        <v>141</v>
      </c>
      <c r="AI10">
        <v>21</v>
      </c>
      <c r="AJ10">
        <v>2.24</v>
      </c>
      <c r="AK10" t="s">
        <v>86</v>
      </c>
      <c r="AL10">
        <v>27</v>
      </c>
      <c r="AM10">
        <v>3</v>
      </c>
      <c r="AN10" t="s">
        <v>131</v>
      </c>
      <c r="AO10" t="s">
        <v>87</v>
      </c>
      <c r="AP10" t="s">
        <v>142</v>
      </c>
      <c r="AQ10" t="s">
        <v>89</v>
      </c>
      <c r="AR10" t="s">
        <v>144</v>
      </c>
      <c r="AS10" t="s">
        <v>82</v>
      </c>
      <c r="AT10" t="s">
        <v>133</v>
      </c>
      <c r="AU10" t="s">
        <v>93</v>
      </c>
      <c r="AV10" t="s">
        <v>121</v>
      </c>
      <c r="AW10" t="s">
        <v>91</v>
      </c>
      <c r="AX10" t="s">
        <v>134</v>
      </c>
      <c r="AY10" t="s">
        <v>95</v>
      </c>
      <c r="AZ10">
        <v>62.73305085</v>
      </c>
      <c r="BA10">
        <v>7.963030196</v>
      </c>
      <c r="BB10">
        <v>3</v>
      </c>
      <c r="BC10">
        <v>51.46186441</v>
      </c>
      <c r="BD10">
        <v>8.733646021</v>
      </c>
      <c r="BE10">
        <v>3</v>
      </c>
      <c r="BF10">
        <v>35.74152542</v>
      </c>
      <c r="BG10">
        <v>6.164926603</v>
      </c>
      <c r="BH10">
        <v>3</v>
      </c>
      <c r="BI10">
        <v>53.98305085</v>
      </c>
      <c r="BJ10">
        <v>15.15544457</v>
      </c>
      <c r="BK10">
        <v>3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</row>
    <row r="11" s="1" customFormat="1" ht="15" customHeight="1" spans="1:76">
      <c r="A11">
        <v>5</v>
      </c>
      <c r="B11">
        <v>11</v>
      </c>
      <c r="C11" t="s">
        <v>137</v>
      </c>
      <c r="D11" t="s">
        <v>138</v>
      </c>
      <c r="E11">
        <v>2008</v>
      </c>
      <c r="F11" t="s">
        <v>124</v>
      </c>
      <c r="G11" t="s">
        <v>139</v>
      </c>
      <c r="H11" t="s">
        <v>140</v>
      </c>
      <c r="I11" t="s">
        <v>110</v>
      </c>
      <c r="J11" t="s">
        <v>96</v>
      </c>
      <c r="K11" t="s">
        <v>9</v>
      </c>
      <c r="L11" t="s">
        <v>97</v>
      </c>
      <c r="M11" t="s">
        <v>98</v>
      </c>
      <c r="N11" t="s">
        <v>99</v>
      </c>
      <c r="O11" t="s">
        <v>112</v>
      </c>
      <c r="P11" t="s">
        <v>101</v>
      </c>
      <c r="Q11" t="s">
        <v>102</v>
      </c>
      <c r="R11" t="s">
        <v>103</v>
      </c>
      <c r="S11" t="s">
        <v>104</v>
      </c>
      <c r="T11"/>
      <c r="U11"/>
      <c r="V11"/>
      <c r="W11"/>
      <c r="X11"/>
      <c r="Y11"/>
      <c r="Z11"/>
      <c r="AA11"/>
      <c r="AB11"/>
      <c r="AC11"/>
      <c r="AD11"/>
      <c r="AE11"/>
      <c r="AF11">
        <v>32.05595</v>
      </c>
      <c r="AG11">
        <v>118.780197</v>
      </c>
      <c r="AH11" t="s">
        <v>141</v>
      </c>
      <c r="AI11">
        <v>21</v>
      </c>
      <c r="AJ11">
        <v>2.24</v>
      </c>
      <c r="AK11" t="s">
        <v>86</v>
      </c>
      <c r="AL11">
        <v>27</v>
      </c>
      <c r="AM11">
        <v>3</v>
      </c>
      <c r="AN11" t="s">
        <v>131</v>
      </c>
      <c r="AO11" t="s">
        <v>87</v>
      </c>
      <c r="AP11" t="s">
        <v>142</v>
      </c>
      <c r="AQ11" t="s">
        <v>89</v>
      </c>
      <c r="AR11" t="s">
        <v>145</v>
      </c>
      <c r="AS11" t="s">
        <v>82</v>
      </c>
      <c r="AT11" t="s">
        <v>133</v>
      </c>
      <c r="AU11" t="s">
        <v>93</v>
      </c>
      <c r="AV11" t="s">
        <v>121</v>
      </c>
      <c r="AW11" t="s">
        <v>91</v>
      </c>
      <c r="AX11" t="s">
        <v>134</v>
      </c>
      <c r="AY11" t="s">
        <v>95</v>
      </c>
      <c r="AZ11">
        <v>161.4645309</v>
      </c>
      <c r="BA11">
        <v>36.38495747</v>
      </c>
      <c r="BB11">
        <v>3</v>
      </c>
      <c r="BC11">
        <v>34.59954233</v>
      </c>
      <c r="BD11">
        <v>6.420874847</v>
      </c>
      <c r="BE11">
        <v>3</v>
      </c>
      <c r="BF11">
        <v>73.3180778</v>
      </c>
      <c r="BG11">
        <v>13.55518023</v>
      </c>
      <c r="BH11">
        <v>3</v>
      </c>
      <c r="BI11">
        <v>74.55377574</v>
      </c>
      <c r="BJ11">
        <v>13.55518023</v>
      </c>
      <c r="BK11">
        <v>3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</row>
    <row r="12" s="1" customFormat="1" ht="15" customHeight="1" spans="1:76">
      <c r="A12">
        <v>5</v>
      </c>
      <c r="B12">
        <v>12</v>
      </c>
      <c r="C12" t="s">
        <v>137</v>
      </c>
      <c r="D12" t="s">
        <v>138</v>
      </c>
      <c r="E12">
        <v>2008</v>
      </c>
      <c r="F12" t="s">
        <v>124</v>
      </c>
      <c r="G12" t="s">
        <v>139</v>
      </c>
      <c r="H12" t="s">
        <v>140</v>
      </c>
      <c r="I12" t="s">
        <v>110</v>
      </c>
      <c r="J12" t="s">
        <v>96</v>
      </c>
      <c r="K12" t="s">
        <v>9</v>
      </c>
      <c r="L12" t="s">
        <v>146</v>
      </c>
      <c r="M12" t="s">
        <v>147</v>
      </c>
      <c r="N12" t="s">
        <v>148</v>
      </c>
      <c r="O12" t="s">
        <v>112</v>
      </c>
      <c r="P12" t="s">
        <v>149</v>
      </c>
      <c r="Q12" t="s">
        <v>102</v>
      </c>
      <c r="R12" t="s">
        <v>103</v>
      </c>
      <c r="S12" t="s">
        <v>104</v>
      </c>
      <c r="T12"/>
      <c r="U12"/>
      <c r="V12"/>
      <c r="W12"/>
      <c r="X12"/>
      <c r="Y12"/>
      <c r="Z12"/>
      <c r="AA12"/>
      <c r="AB12"/>
      <c r="AC12"/>
      <c r="AD12"/>
      <c r="AE12"/>
      <c r="AF12">
        <v>32.05595</v>
      </c>
      <c r="AG12">
        <v>118.780197</v>
      </c>
      <c r="AH12" t="s">
        <v>141</v>
      </c>
      <c r="AI12">
        <v>21</v>
      </c>
      <c r="AJ12">
        <v>2.24</v>
      </c>
      <c r="AK12" t="s">
        <v>86</v>
      </c>
      <c r="AL12">
        <v>27</v>
      </c>
      <c r="AM12">
        <v>3</v>
      </c>
      <c r="AN12" t="s">
        <v>131</v>
      </c>
      <c r="AO12" t="s">
        <v>87</v>
      </c>
      <c r="AP12" t="s">
        <v>142</v>
      </c>
      <c r="AQ12" t="s">
        <v>89</v>
      </c>
      <c r="AR12" t="s">
        <v>143</v>
      </c>
      <c r="AS12" t="s">
        <v>82</v>
      </c>
      <c r="AT12" t="s">
        <v>133</v>
      </c>
      <c r="AU12" t="s">
        <v>93</v>
      </c>
      <c r="AV12" t="s">
        <v>121</v>
      </c>
      <c r="AW12" t="s">
        <v>91</v>
      </c>
      <c r="AX12" t="s">
        <v>134</v>
      </c>
      <c r="AY12" t="s">
        <v>95</v>
      </c>
      <c r="AZ12">
        <v>206.7857143</v>
      </c>
      <c r="BA12">
        <v>64.95190528</v>
      </c>
      <c r="BB12">
        <v>3</v>
      </c>
      <c r="BC12">
        <v>62.14285714</v>
      </c>
      <c r="BD12">
        <v>19.48557159</v>
      </c>
      <c r="BE12">
        <v>3</v>
      </c>
      <c r="BF12">
        <v>73.39285714</v>
      </c>
      <c r="BG12">
        <v>48.24998678</v>
      </c>
      <c r="BH12">
        <v>3</v>
      </c>
      <c r="BI12">
        <v>99.64285714</v>
      </c>
      <c r="BJ12">
        <v>47.32210242</v>
      </c>
      <c r="BK12">
        <v>3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="1" customFormat="1" ht="15" customHeight="1" spans="1:76">
      <c r="A13">
        <v>5</v>
      </c>
      <c r="B13">
        <v>13</v>
      </c>
      <c r="C13" t="s">
        <v>137</v>
      </c>
      <c r="D13" t="s">
        <v>138</v>
      </c>
      <c r="E13">
        <v>2008</v>
      </c>
      <c r="F13" t="s">
        <v>124</v>
      </c>
      <c r="G13" t="s">
        <v>139</v>
      </c>
      <c r="H13" t="s">
        <v>140</v>
      </c>
      <c r="I13" t="s">
        <v>110</v>
      </c>
      <c r="J13" t="s">
        <v>96</v>
      </c>
      <c r="K13" t="s">
        <v>9</v>
      </c>
      <c r="L13" t="s">
        <v>146</v>
      </c>
      <c r="M13" t="s">
        <v>147</v>
      </c>
      <c r="N13" t="s">
        <v>148</v>
      </c>
      <c r="O13" t="s">
        <v>112</v>
      </c>
      <c r="P13" t="s">
        <v>149</v>
      </c>
      <c r="Q13" t="s">
        <v>102</v>
      </c>
      <c r="R13" t="s">
        <v>103</v>
      </c>
      <c r="S13" t="s">
        <v>104</v>
      </c>
      <c r="T13"/>
      <c r="U13"/>
      <c r="V13"/>
      <c r="W13"/>
      <c r="X13"/>
      <c r="Y13"/>
      <c r="Z13"/>
      <c r="AA13"/>
      <c r="AB13"/>
      <c r="AC13"/>
      <c r="AD13"/>
      <c r="AE13"/>
      <c r="AF13">
        <v>32.05595</v>
      </c>
      <c r="AG13">
        <v>118.780197</v>
      </c>
      <c r="AH13" t="s">
        <v>141</v>
      </c>
      <c r="AI13">
        <v>21</v>
      </c>
      <c r="AJ13">
        <v>2.24</v>
      </c>
      <c r="AK13" t="s">
        <v>86</v>
      </c>
      <c r="AL13">
        <v>27</v>
      </c>
      <c r="AM13">
        <v>3</v>
      </c>
      <c r="AN13" t="s">
        <v>131</v>
      </c>
      <c r="AO13" t="s">
        <v>87</v>
      </c>
      <c r="AP13" t="s">
        <v>142</v>
      </c>
      <c r="AQ13" t="s">
        <v>89</v>
      </c>
      <c r="AR13" t="s">
        <v>144</v>
      </c>
      <c r="AS13" t="s">
        <v>82</v>
      </c>
      <c r="AT13" t="s">
        <v>133</v>
      </c>
      <c r="AU13" t="s">
        <v>93</v>
      </c>
      <c r="AV13" t="s">
        <v>121</v>
      </c>
      <c r="AW13" t="s">
        <v>91</v>
      </c>
      <c r="AX13" t="s">
        <v>134</v>
      </c>
      <c r="AY13" t="s">
        <v>95</v>
      </c>
      <c r="AZ13">
        <v>44.44444444</v>
      </c>
      <c r="BA13">
        <v>12.40233912</v>
      </c>
      <c r="BB13">
        <v>3</v>
      </c>
      <c r="BC13">
        <v>19.01234568</v>
      </c>
      <c r="BD13">
        <v>5.987336125</v>
      </c>
      <c r="BE13">
        <v>3</v>
      </c>
      <c r="BF13">
        <v>40.86419753</v>
      </c>
      <c r="BG13">
        <v>18.60350867</v>
      </c>
      <c r="BH13">
        <v>3</v>
      </c>
      <c r="BI13">
        <v>46.17283951</v>
      </c>
      <c r="BJ13">
        <v>18.38967524</v>
      </c>
      <c r="BK13">
        <v>3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="1" customFormat="1" ht="15" customHeight="1" spans="1:76">
      <c r="A14">
        <v>5</v>
      </c>
      <c r="B14">
        <v>14</v>
      </c>
      <c r="C14" t="s">
        <v>137</v>
      </c>
      <c r="D14" t="s">
        <v>138</v>
      </c>
      <c r="E14">
        <v>2008</v>
      </c>
      <c r="F14" t="s">
        <v>124</v>
      </c>
      <c r="G14" t="s">
        <v>139</v>
      </c>
      <c r="H14" t="s">
        <v>140</v>
      </c>
      <c r="I14" t="s">
        <v>110</v>
      </c>
      <c r="J14" t="s">
        <v>96</v>
      </c>
      <c r="K14" t="s">
        <v>9</v>
      </c>
      <c r="L14" t="s">
        <v>146</v>
      </c>
      <c r="M14" t="s">
        <v>147</v>
      </c>
      <c r="N14" t="s">
        <v>148</v>
      </c>
      <c r="O14" t="s">
        <v>112</v>
      </c>
      <c r="P14" t="s">
        <v>149</v>
      </c>
      <c r="Q14" t="s">
        <v>102</v>
      </c>
      <c r="R14" t="s">
        <v>103</v>
      </c>
      <c r="S14" t="s">
        <v>104</v>
      </c>
      <c r="T14"/>
      <c r="U14"/>
      <c r="V14"/>
      <c r="W14"/>
      <c r="X14"/>
      <c r="Y14"/>
      <c r="Z14"/>
      <c r="AA14"/>
      <c r="AB14"/>
      <c r="AC14"/>
      <c r="AD14"/>
      <c r="AE14"/>
      <c r="AF14">
        <v>32.05595</v>
      </c>
      <c r="AG14">
        <v>118.780197</v>
      </c>
      <c r="AH14" t="s">
        <v>141</v>
      </c>
      <c r="AI14">
        <v>21</v>
      </c>
      <c r="AJ14">
        <v>2.24</v>
      </c>
      <c r="AK14" t="s">
        <v>86</v>
      </c>
      <c r="AL14">
        <v>27</v>
      </c>
      <c r="AM14">
        <v>3</v>
      </c>
      <c r="AN14" t="s">
        <v>131</v>
      </c>
      <c r="AO14" t="s">
        <v>87</v>
      </c>
      <c r="AP14" t="s">
        <v>142</v>
      </c>
      <c r="AQ14" t="s">
        <v>89</v>
      </c>
      <c r="AR14" t="s">
        <v>145</v>
      </c>
      <c r="AS14" t="s">
        <v>82</v>
      </c>
      <c r="AT14" t="s">
        <v>133</v>
      </c>
      <c r="AU14" t="s">
        <v>93</v>
      </c>
      <c r="AV14" t="s">
        <v>121</v>
      </c>
      <c r="AW14" t="s">
        <v>91</v>
      </c>
      <c r="AX14" t="s">
        <v>134</v>
      </c>
      <c r="AY14" t="s">
        <v>95</v>
      </c>
      <c r="AZ14">
        <v>98.31325301</v>
      </c>
      <c r="BA14">
        <v>22.95489022</v>
      </c>
      <c r="BB14">
        <v>3</v>
      </c>
      <c r="BC14">
        <v>19.03614458</v>
      </c>
      <c r="BD14">
        <v>2.504169842</v>
      </c>
      <c r="BE14">
        <v>3</v>
      </c>
      <c r="BF14">
        <v>23.61445783</v>
      </c>
      <c r="BG14">
        <v>9.181956088</v>
      </c>
      <c r="BH14">
        <v>3</v>
      </c>
      <c r="BI14">
        <v>60.24096386</v>
      </c>
      <c r="BJ14">
        <v>63.85633098</v>
      </c>
      <c r="BK14">
        <v>3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="1" customFormat="1" ht="15" customHeight="1" spans="1:76">
      <c r="A15">
        <v>6</v>
      </c>
      <c r="B15">
        <v>15</v>
      </c>
      <c r="C15" t="s">
        <v>150</v>
      </c>
      <c r="D15" t="s">
        <v>151</v>
      </c>
      <c r="E15">
        <v>2008</v>
      </c>
      <c r="F15" t="s">
        <v>152</v>
      </c>
      <c r="G15" t="s">
        <v>153</v>
      </c>
      <c r="H15" t="s">
        <v>80</v>
      </c>
      <c r="I15" t="s">
        <v>110</v>
      </c>
      <c r="J15" t="s">
        <v>96</v>
      </c>
      <c r="K15" t="s">
        <v>9</v>
      </c>
      <c r="L15" t="s">
        <v>126</v>
      </c>
      <c r="M15" t="s">
        <v>127</v>
      </c>
      <c r="N15" t="s">
        <v>128</v>
      </c>
      <c r="O15" t="s">
        <v>112</v>
      </c>
      <c r="P15" t="s">
        <v>101</v>
      </c>
      <c r="Q15" t="s">
        <v>102</v>
      </c>
      <c r="R15" t="s">
        <v>129</v>
      </c>
      <c r="S15" t="s">
        <v>104</v>
      </c>
      <c r="T15"/>
      <c r="U15"/>
      <c r="V15"/>
      <c r="W15"/>
      <c r="X15"/>
      <c r="Y15"/>
      <c r="Z15"/>
      <c r="AA15"/>
      <c r="AB15"/>
      <c r="AC15"/>
      <c r="AD15"/>
      <c r="AE15"/>
      <c r="AF15">
        <v>30.9167</v>
      </c>
      <c r="AG15">
        <v>119.8667</v>
      </c>
      <c r="AH15" t="s">
        <v>154</v>
      </c>
      <c r="AI15">
        <v>30</v>
      </c>
      <c r="AJ15">
        <v>2.24</v>
      </c>
      <c r="AK15" t="s">
        <v>86</v>
      </c>
      <c r="AL15">
        <v>18</v>
      </c>
      <c r="AM15">
        <v>3</v>
      </c>
      <c r="AN15" t="s">
        <v>131</v>
      </c>
      <c r="AO15" t="s">
        <v>87</v>
      </c>
      <c r="AP15" t="s">
        <v>155</v>
      </c>
      <c r="AQ15" t="s">
        <v>89</v>
      </c>
      <c r="AR15" t="s">
        <v>136</v>
      </c>
      <c r="AS15" t="s">
        <v>82</v>
      </c>
      <c r="AT15" t="s">
        <v>133</v>
      </c>
      <c r="AU15" t="s">
        <v>93</v>
      </c>
      <c r="AV15" t="s">
        <v>121</v>
      </c>
      <c r="AW15" t="s">
        <v>91</v>
      </c>
      <c r="AX15" t="s">
        <v>134</v>
      </c>
      <c r="AY15" t="s">
        <v>95</v>
      </c>
      <c r="AZ15">
        <v>21.66233766</v>
      </c>
      <c r="BA15">
        <v>7.827969884</v>
      </c>
      <c r="BB15">
        <v>3</v>
      </c>
      <c r="BC15">
        <v>39.50649351</v>
      </c>
      <c r="BD15">
        <v>6.7482499</v>
      </c>
      <c r="BE15">
        <v>3</v>
      </c>
      <c r="BF15">
        <v>28.98701299</v>
      </c>
      <c r="BG15">
        <v>6.613284902</v>
      </c>
      <c r="BH15">
        <v>3</v>
      </c>
      <c r="BI15">
        <v>18.23376623</v>
      </c>
      <c r="BJ15">
        <v>5.39859992</v>
      </c>
      <c r="BK15">
        <v>3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="1" customFormat="1" ht="15" customHeight="1" spans="1:76">
      <c r="A16">
        <v>6</v>
      </c>
      <c r="B16">
        <v>16</v>
      </c>
      <c r="C16" t="s">
        <v>150</v>
      </c>
      <c r="D16" t="s">
        <v>151</v>
      </c>
      <c r="E16">
        <v>2008</v>
      </c>
      <c r="F16" t="s">
        <v>152</v>
      </c>
      <c r="G16" t="s">
        <v>153</v>
      </c>
      <c r="H16" t="s">
        <v>80</v>
      </c>
      <c r="I16" t="s">
        <v>110</v>
      </c>
      <c r="J16" t="s">
        <v>96</v>
      </c>
      <c r="K16" t="s">
        <v>9</v>
      </c>
      <c r="L16" t="s">
        <v>126</v>
      </c>
      <c r="M16" t="s">
        <v>127</v>
      </c>
      <c r="N16" t="s">
        <v>128</v>
      </c>
      <c r="O16" t="s">
        <v>112</v>
      </c>
      <c r="P16" t="s">
        <v>101</v>
      </c>
      <c r="Q16" t="s">
        <v>102</v>
      </c>
      <c r="R16" t="s">
        <v>129</v>
      </c>
      <c r="S16" t="s">
        <v>104</v>
      </c>
      <c r="T16"/>
      <c r="U16"/>
      <c r="V16"/>
      <c r="W16"/>
      <c r="X16"/>
      <c r="Y16"/>
      <c r="Z16"/>
      <c r="AA16"/>
      <c r="AB16"/>
      <c r="AC16"/>
      <c r="AD16"/>
      <c r="AE16"/>
      <c r="AF16">
        <v>30.9167</v>
      </c>
      <c r="AG16">
        <v>119.8667</v>
      </c>
      <c r="AH16" t="s">
        <v>154</v>
      </c>
      <c r="AI16">
        <v>30</v>
      </c>
      <c r="AJ16">
        <v>2.24</v>
      </c>
      <c r="AK16" t="s">
        <v>86</v>
      </c>
      <c r="AL16">
        <v>18</v>
      </c>
      <c r="AM16">
        <v>3</v>
      </c>
      <c r="AN16" t="s">
        <v>131</v>
      </c>
      <c r="AO16" t="s">
        <v>87</v>
      </c>
      <c r="AP16" t="s">
        <v>155</v>
      </c>
      <c r="AQ16" t="s">
        <v>89</v>
      </c>
      <c r="AR16" t="s">
        <v>135</v>
      </c>
      <c r="AS16" t="s">
        <v>82</v>
      </c>
      <c r="AT16" t="s">
        <v>133</v>
      </c>
      <c r="AU16" t="s">
        <v>93</v>
      </c>
      <c r="AV16" t="s">
        <v>121</v>
      </c>
      <c r="AW16" t="s">
        <v>91</v>
      </c>
      <c r="AX16" t="s">
        <v>134</v>
      </c>
      <c r="AY16" t="s">
        <v>95</v>
      </c>
      <c r="AZ16">
        <v>43.75335121</v>
      </c>
      <c r="BA16">
        <v>10.5873347</v>
      </c>
      <c r="BB16">
        <v>3</v>
      </c>
      <c r="BC16">
        <v>84.12868633</v>
      </c>
      <c r="BD16">
        <v>15.60238797</v>
      </c>
      <c r="BE16">
        <v>3</v>
      </c>
      <c r="BF16">
        <v>77.85522788</v>
      </c>
      <c r="BG16">
        <v>15.88100204</v>
      </c>
      <c r="BH16">
        <v>3</v>
      </c>
      <c r="BI16">
        <v>24.93297587</v>
      </c>
      <c r="BJ16">
        <v>3.900596993</v>
      </c>
      <c r="BK16">
        <v>3</v>
      </c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="1" customFormat="1" ht="15" customHeight="1" spans="1:76">
      <c r="A17">
        <v>7</v>
      </c>
      <c r="B17">
        <v>17</v>
      </c>
      <c r="C17" t="s">
        <v>156</v>
      </c>
      <c r="D17" t="s">
        <v>157</v>
      </c>
      <c r="E17">
        <v>2012</v>
      </c>
      <c r="F17" t="s">
        <v>158</v>
      </c>
      <c r="G17" t="s">
        <v>159</v>
      </c>
      <c r="H17" t="s">
        <v>80</v>
      </c>
      <c r="I17" t="s">
        <v>110</v>
      </c>
      <c r="J17" t="s">
        <v>96</v>
      </c>
      <c r="K17" t="s">
        <v>9</v>
      </c>
      <c r="L17" t="s">
        <v>97</v>
      </c>
      <c r="M17" t="s">
        <v>98</v>
      </c>
      <c r="N17" t="s">
        <v>99</v>
      </c>
      <c r="O17" t="s">
        <v>112</v>
      </c>
      <c r="P17" t="s">
        <v>101</v>
      </c>
      <c r="Q17" t="s">
        <v>102</v>
      </c>
      <c r="R17" t="s">
        <v>103</v>
      </c>
      <c r="S17" t="s">
        <v>104</v>
      </c>
      <c r="T17">
        <v>2.88</v>
      </c>
      <c r="U17">
        <v>1.45</v>
      </c>
      <c r="V17"/>
      <c r="W17">
        <f>2.7-U17</f>
        <v>1.25</v>
      </c>
      <c r="X17">
        <v>0.12</v>
      </c>
      <c r="Y17">
        <v>0.7</v>
      </c>
      <c r="Z17"/>
      <c r="AA17"/>
      <c r="AB17" t="s">
        <v>105</v>
      </c>
      <c r="AC17" t="s">
        <v>105</v>
      </c>
      <c r="AD17"/>
      <c r="AE17"/>
      <c r="AF17">
        <v>31.5</v>
      </c>
      <c r="AG17">
        <v>120.5</v>
      </c>
      <c r="AH17" t="s">
        <v>160</v>
      </c>
      <c r="AI17">
        <v>69</v>
      </c>
      <c r="AJ17">
        <v>22.5</v>
      </c>
      <c r="AK17" t="s">
        <v>115</v>
      </c>
      <c r="AL17">
        <v>48</v>
      </c>
      <c r="AM17">
        <v>8</v>
      </c>
      <c r="AN17" t="s">
        <v>161</v>
      </c>
      <c r="AO17" t="s">
        <v>131</v>
      </c>
      <c r="AP17" t="s">
        <v>162</v>
      </c>
      <c r="AQ17" t="s">
        <v>89</v>
      </c>
      <c r="AR17" t="s">
        <v>89</v>
      </c>
      <c r="AS17" t="s">
        <v>82</v>
      </c>
      <c r="AT17" t="s">
        <v>90</v>
      </c>
      <c r="AU17" t="s">
        <v>91</v>
      </c>
      <c r="AV17" t="s">
        <v>134</v>
      </c>
      <c r="AW17" t="s">
        <v>119</v>
      </c>
      <c r="AX17" t="s">
        <v>120</v>
      </c>
      <c r="AY17" t="s">
        <v>163</v>
      </c>
      <c r="AZ17">
        <v>9.327983952</v>
      </c>
      <c r="BA17">
        <v>0.709234485</v>
      </c>
      <c r="BB17">
        <v>8</v>
      </c>
      <c r="BC17">
        <v>16.4994985</v>
      </c>
      <c r="BD17">
        <v>1.418468969</v>
      </c>
      <c r="BE17">
        <v>8</v>
      </c>
      <c r="BF17">
        <v>3.686058175</v>
      </c>
      <c r="BG17">
        <v>0.638311036</v>
      </c>
      <c r="BH17">
        <v>8</v>
      </c>
      <c r="BI17">
        <v>6.09327984</v>
      </c>
      <c r="BJ17">
        <v>0.992928278</v>
      </c>
      <c r="BK17">
        <v>8</v>
      </c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="1" customFormat="1" ht="15" customHeight="1" spans="1:76">
      <c r="A18">
        <v>8</v>
      </c>
      <c r="B18">
        <v>18</v>
      </c>
      <c r="C18" t="s">
        <v>164</v>
      </c>
      <c r="D18" t="s">
        <v>165</v>
      </c>
      <c r="E18">
        <v>2022</v>
      </c>
      <c r="F18" t="s">
        <v>166</v>
      </c>
      <c r="G18" t="s">
        <v>167</v>
      </c>
      <c r="H18" t="s">
        <v>80</v>
      </c>
      <c r="I18" t="s">
        <v>110</v>
      </c>
      <c r="J18" t="s">
        <v>96</v>
      </c>
      <c r="K18" t="s">
        <v>9</v>
      </c>
      <c r="L18" t="s">
        <v>126</v>
      </c>
      <c r="M18" t="s">
        <v>168</v>
      </c>
      <c r="N18" t="s">
        <v>169</v>
      </c>
      <c r="O18" t="s">
        <v>112</v>
      </c>
      <c r="P18" t="s">
        <v>149</v>
      </c>
      <c r="Q18" t="s">
        <v>102</v>
      </c>
      <c r="R18" t="s">
        <v>129</v>
      </c>
      <c r="S18" t="s">
        <v>104</v>
      </c>
      <c r="T18">
        <v>2.438</v>
      </c>
      <c r="U18">
        <v>5.5</v>
      </c>
      <c r="V18">
        <v>0.1</v>
      </c>
      <c r="W18"/>
      <c r="X18">
        <v>0.022</v>
      </c>
      <c r="Y18">
        <v>0.42</v>
      </c>
      <c r="Z18">
        <v>18.12</v>
      </c>
      <c r="AA18"/>
      <c r="AB18" t="s">
        <v>105</v>
      </c>
      <c r="AC18" t="s">
        <v>170</v>
      </c>
      <c r="AD18"/>
      <c r="AE18"/>
      <c r="AF18">
        <v>30.466965</v>
      </c>
      <c r="AG18">
        <v>114.356706</v>
      </c>
      <c r="AH18" t="s">
        <v>171</v>
      </c>
      <c r="AI18">
        <v>58</v>
      </c>
      <c r="AJ18">
        <v>100</v>
      </c>
      <c r="AK18" t="s">
        <v>86</v>
      </c>
      <c r="AL18">
        <v>40</v>
      </c>
      <c r="AM18">
        <v>5</v>
      </c>
      <c r="AN18" t="s">
        <v>172</v>
      </c>
      <c r="AO18" t="s">
        <v>173</v>
      </c>
      <c r="AP18" t="s">
        <v>174</v>
      </c>
      <c r="AQ18" t="s">
        <v>89</v>
      </c>
      <c r="AR18" t="s">
        <v>89</v>
      </c>
      <c r="AS18" t="s">
        <v>82</v>
      </c>
      <c r="AT18" t="s">
        <v>90</v>
      </c>
      <c r="AU18" t="s">
        <v>119</v>
      </c>
      <c r="AV18" t="s">
        <v>175</v>
      </c>
      <c r="AW18" t="s">
        <v>91</v>
      </c>
      <c r="AX18" t="s">
        <v>92</v>
      </c>
      <c r="AY18" t="s">
        <v>163</v>
      </c>
      <c r="AZ18">
        <v>4.872</v>
      </c>
      <c r="BA18">
        <v>2.45556601304963</v>
      </c>
      <c r="BB18">
        <v>5</v>
      </c>
      <c r="BC18">
        <v>3.344</v>
      </c>
      <c r="BD18">
        <v>1.56021793349519</v>
      </c>
      <c r="BE18">
        <v>5</v>
      </c>
      <c r="BF18">
        <v>3.34</v>
      </c>
      <c r="BG18">
        <v>1.8412359979101</v>
      </c>
      <c r="BH18">
        <v>5</v>
      </c>
      <c r="BI18">
        <v>2.208</v>
      </c>
      <c r="BJ18">
        <v>0.739303726488647</v>
      </c>
      <c r="BK18">
        <v>5</v>
      </c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="1" customFormat="1" ht="15" customHeight="1" spans="1:76">
      <c r="A19">
        <v>8</v>
      </c>
      <c r="B19">
        <v>19</v>
      </c>
      <c r="C19" t="s">
        <v>164</v>
      </c>
      <c r="D19" t="s">
        <v>165</v>
      </c>
      <c r="E19">
        <v>2022</v>
      </c>
      <c r="F19" t="s">
        <v>166</v>
      </c>
      <c r="G19" t="s">
        <v>167</v>
      </c>
      <c r="H19" t="s">
        <v>80</v>
      </c>
      <c r="I19" t="s">
        <v>110</v>
      </c>
      <c r="J19" t="s">
        <v>96</v>
      </c>
      <c r="K19" t="s">
        <v>9</v>
      </c>
      <c r="L19" t="s">
        <v>126</v>
      </c>
      <c r="M19" t="s">
        <v>168</v>
      </c>
      <c r="N19" t="s">
        <v>169</v>
      </c>
      <c r="O19" t="s">
        <v>112</v>
      </c>
      <c r="P19" t="s">
        <v>149</v>
      </c>
      <c r="Q19" t="s">
        <v>102</v>
      </c>
      <c r="R19" t="s">
        <v>129</v>
      </c>
      <c r="S19" t="s">
        <v>104</v>
      </c>
      <c r="T19"/>
      <c r="U19"/>
      <c r="V19"/>
      <c r="W19"/>
      <c r="X19"/>
      <c r="Y19"/>
      <c r="Z19"/>
      <c r="AA19"/>
      <c r="AB19"/>
      <c r="AC19"/>
      <c r="AD19"/>
      <c r="AE19"/>
      <c r="AF19">
        <v>30.466965</v>
      </c>
      <c r="AG19">
        <v>114.356706</v>
      </c>
      <c r="AH19" t="s">
        <v>171</v>
      </c>
      <c r="AI19">
        <v>58</v>
      </c>
      <c r="AJ19">
        <v>100</v>
      </c>
      <c r="AK19" t="s">
        <v>86</v>
      </c>
      <c r="AL19">
        <v>40</v>
      </c>
      <c r="AM19">
        <v>5</v>
      </c>
      <c r="AN19" t="s">
        <v>172</v>
      </c>
      <c r="AO19" t="s">
        <v>173</v>
      </c>
      <c r="AP19" t="s">
        <v>174</v>
      </c>
      <c r="AQ19" t="s">
        <v>89</v>
      </c>
      <c r="AR19" t="s">
        <v>89</v>
      </c>
      <c r="AS19" t="s">
        <v>82</v>
      </c>
      <c r="AT19" t="s">
        <v>90</v>
      </c>
      <c r="AU19" t="s">
        <v>176</v>
      </c>
      <c r="AV19" t="s">
        <v>175</v>
      </c>
      <c r="AW19" t="s">
        <v>93</v>
      </c>
      <c r="AX19" t="s">
        <v>94</v>
      </c>
      <c r="AY19" t="s">
        <v>95</v>
      </c>
      <c r="AZ19">
        <v>40.85666667</v>
      </c>
      <c r="BA19">
        <v>55.37417</v>
      </c>
      <c r="BB19">
        <v>5</v>
      </c>
      <c r="BC19">
        <v>40.272</v>
      </c>
      <c r="BD19">
        <v>185.36807</v>
      </c>
      <c r="BE19">
        <v>5</v>
      </c>
      <c r="BF19">
        <v>32.928</v>
      </c>
      <c r="BG19">
        <v>225.83017</v>
      </c>
      <c r="BH19">
        <v>5</v>
      </c>
      <c r="BI19">
        <v>26.458</v>
      </c>
      <c r="BJ19">
        <v>124.41922</v>
      </c>
      <c r="BK19">
        <v>5</v>
      </c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="1" customFormat="1" ht="15" customHeight="1" spans="1:76">
      <c r="A20">
        <v>8</v>
      </c>
      <c r="B20">
        <v>20</v>
      </c>
      <c r="C20" t="s">
        <v>164</v>
      </c>
      <c r="D20" t="s">
        <v>165</v>
      </c>
      <c r="E20">
        <v>2022</v>
      </c>
      <c r="F20" t="s">
        <v>166</v>
      </c>
      <c r="G20" t="s">
        <v>167</v>
      </c>
      <c r="H20" t="s">
        <v>80</v>
      </c>
      <c r="I20" t="s">
        <v>110</v>
      </c>
      <c r="J20" t="s">
        <v>96</v>
      </c>
      <c r="K20" t="s">
        <v>9</v>
      </c>
      <c r="L20" t="s">
        <v>146</v>
      </c>
      <c r="M20" t="s">
        <v>147</v>
      </c>
      <c r="N20" t="s">
        <v>148</v>
      </c>
      <c r="O20" t="s">
        <v>112</v>
      </c>
      <c r="P20" t="s">
        <v>149</v>
      </c>
      <c r="Q20" t="s">
        <v>102</v>
      </c>
      <c r="R20" t="s">
        <v>103</v>
      </c>
      <c r="S20" t="s">
        <v>104</v>
      </c>
      <c r="T20"/>
      <c r="U20"/>
      <c r="V20"/>
      <c r="W20"/>
      <c r="X20"/>
      <c r="Y20"/>
      <c r="Z20"/>
      <c r="AA20"/>
      <c r="AB20"/>
      <c r="AC20"/>
      <c r="AD20"/>
      <c r="AE20"/>
      <c r="AF20">
        <v>30.466965</v>
      </c>
      <c r="AG20">
        <v>114.356706</v>
      </c>
      <c r="AH20" t="s">
        <v>171</v>
      </c>
      <c r="AI20">
        <v>58</v>
      </c>
      <c r="AJ20">
        <v>100</v>
      </c>
      <c r="AK20" t="s">
        <v>86</v>
      </c>
      <c r="AL20">
        <v>40</v>
      </c>
      <c r="AM20">
        <v>5</v>
      </c>
      <c r="AN20" t="s">
        <v>172</v>
      </c>
      <c r="AO20" t="s">
        <v>173</v>
      </c>
      <c r="AP20" t="s">
        <v>174</v>
      </c>
      <c r="AQ20" t="s">
        <v>89</v>
      </c>
      <c r="AR20" t="s">
        <v>177</v>
      </c>
      <c r="AS20" t="s">
        <v>82</v>
      </c>
      <c r="AT20" t="s">
        <v>90</v>
      </c>
      <c r="AU20" t="s">
        <v>176</v>
      </c>
      <c r="AV20" t="s">
        <v>175</v>
      </c>
      <c r="AW20" t="s">
        <v>93</v>
      </c>
      <c r="AX20" t="s">
        <v>94</v>
      </c>
      <c r="AY20" t="s">
        <v>95</v>
      </c>
      <c r="AZ20">
        <v>40.99</v>
      </c>
      <c r="BA20">
        <v>351.55267</v>
      </c>
      <c r="BB20">
        <v>5</v>
      </c>
      <c r="BC20">
        <v>29.63</v>
      </c>
      <c r="BD20">
        <v>1.83e-6</v>
      </c>
      <c r="BE20">
        <v>5</v>
      </c>
      <c r="BF20">
        <v>44.848</v>
      </c>
      <c r="BG20">
        <v>378.61222</v>
      </c>
      <c r="BH20">
        <v>5</v>
      </c>
      <c r="BI20">
        <v>21.932</v>
      </c>
      <c r="BJ20">
        <v>46.61867</v>
      </c>
      <c r="BK20">
        <v>5</v>
      </c>
      <c r="BL20"/>
      <c r="BM20"/>
      <c r="BN20"/>
      <c r="BO20"/>
      <c r="BP20"/>
      <c r="BQ20"/>
      <c r="BR20"/>
      <c r="BS20"/>
      <c r="BT20"/>
      <c r="BU20"/>
      <c r="BV20"/>
      <c r="BW20"/>
      <c r="BX20"/>
    </row>
    <row r="21" s="1" customFormat="1" ht="15" customHeight="1" spans="1:76">
      <c r="A21">
        <v>8</v>
      </c>
      <c r="B21">
        <v>21</v>
      </c>
      <c r="C21" t="s">
        <v>164</v>
      </c>
      <c r="D21" t="s">
        <v>165</v>
      </c>
      <c r="E21">
        <v>2022</v>
      </c>
      <c r="F21" t="s">
        <v>166</v>
      </c>
      <c r="G21" t="s">
        <v>167</v>
      </c>
      <c r="H21" t="s">
        <v>80</v>
      </c>
      <c r="I21" t="s">
        <v>110</v>
      </c>
      <c r="J21" t="s">
        <v>96</v>
      </c>
      <c r="K21" t="s">
        <v>9</v>
      </c>
      <c r="L21" t="s">
        <v>126</v>
      </c>
      <c r="M21" t="s">
        <v>168</v>
      </c>
      <c r="N21" t="s">
        <v>169</v>
      </c>
      <c r="O21" t="s">
        <v>112</v>
      </c>
      <c r="P21" t="s">
        <v>149</v>
      </c>
      <c r="Q21" t="s">
        <v>102</v>
      </c>
      <c r="R21" t="s">
        <v>129</v>
      </c>
      <c r="S21" t="s">
        <v>104</v>
      </c>
      <c r="T21"/>
      <c r="U21"/>
      <c r="V21"/>
      <c r="W21"/>
      <c r="X21"/>
      <c r="Y21"/>
      <c r="Z21"/>
      <c r="AA21"/>
      <c r="AB21"/>
      <c r="AC21"/>
      <c r="AD21"/>
      <c r="AE21"/>
      <c r="AF21">
        <v>30.466965</v>
      </c>
      <c r="AG21">
        <v>114.356706</v>
      </c>
      <c r="AH21" t="s">
        <v>171</v>
      </c>
      <c r="AI21">
        <v>58</v>
      </c>
      <c r="AJ21">
        <v>100</v>
      </c>
      <c r="AK21" t="s">
        <v>86</v>
      </c>
      <c r="AL21">
        <v>40</v>
      </c>
      <c r="AM21">
        <v>5</v>
      </c>
      <c r="AN21" t="s">
        <v>172</v>
      </c>
      <c r="AO21" t="s">
        <v>173</v>
      </c>
      <c r="AP21" t="s">
        <v>174</v>
      </c>
      <c r="AQ21" t="s">
        <v>89</v>
      </c>
      <c r="AR21" t="s">
        <v>89</v>
      </c>
      <c r="AS21" t="s">
        <v>82</v>
      </c>
      <c r="AT21" t="s">
        <v>90</v>
      </c>
      <c r="AU21" t="s">
        <v>91</v>
      </c>
      <c r="AV21" t="s">
        <v>92</v>
      </c>
      <c r="AW21" t="s">
        <v>93</v>
      </c>
      <c r="AX21" t="s">
        <v>94</v>
      </c>
      <c r="AY21" t="s">
        <v>95</v>
      </c>
      <c r="AZ21">
        <v>40.85666667</v>
      </c>
      <c r="BA21">
        <v>55.37417</v>
      </c>
      <c r="BB21">
        <v>5</v>
      </c>
      <c r="BC21">
        <v>40.906</v>
      </c>
      <c r="BD21">
        <v>185.36807</v>
      </c>
      <c r="BE21">
        <v>5</v>
      </c>
      <c r="BF21">
        <v>32.928</v>
      </c>
      <c r="BG21">
        <v>225.83017</v>
      </c>
      <c r="BH21">
        <v>5</v>
      </c>
      <c r="BI21">
        <v>36.17</v>
      </c>
      <c r="BJ21">
        <v>408.92525</v>
      </c>
      <c r="BK21">
        <v>5</v>
      </c>
      <c r="BL21"/>
      <c r="BM21"/>
      <c r="BN21"/>
      <c r="BO21"/>
      <c r="BP21"/>
      <c r="BQ21"/>
      <c r="BR21"/>
      <c r="BS21"/>
      <c r="BT21"/>
      <c r="BU21"/>
      <c r="BV21"/>
      <c r="BW21"/>
      <c r="BX21"/>
    </row>
    <row r="22" s="1" customFormat="1" ht="15" customHeight="1" spans="1:76">
      <c r="A22">
        <v>8</v>
      </c>
      <c r="B22">
        <v>22</v>
      </c>
      <c r="C22" t="s">
        <v>164</v>
      </c>
      <c r="D22" t="s">
        <v>165</v>
      </c>
      <c r="E22">
        <v>2022</v>
      </c>
      <c r="F22" t="s">
        <v>166</v>
      </c>
      <c r="G22" t="s">
        <v>167</v>
      </c>
      <c r="H22" t="s">
        <v>80</v>
      </c>
      <c r="I22" t="s">
        <v>110</v>
      </c>
      <c r="J22" t="s">
        <v>96</v>
      </c>
      <c r="K22" t="s">
        <v>9</v>
      </c>
      <c r="L22" t="s">
        <v>146</v>
      </c>
      <c r="M22" t="s">
        <v>147</v>
      </c>
      <c r="N22" t="s">
        <v>148</v>
      </c>
      <c r="O22" t="s">
        <v>112</v>
      </c>
      <c r="P22" t="s">
        <v>149</v>
      </c>
      <c r="Q22" t="s">
        <v>102</v>
      </c>
      <c r="R22" t="s">
        <v>103</v>
      </c>
      <c r="S22" t="s">
        <v>104</v>
      </c>
      <c r="T22"/>
      <c r="U22"/>
      <c r="V22"/>
      <c r="W22"/>
      <c r="X22"/>
      <c r="Y22"/>
      <c r="Z22"/>
      <c r="AA22"/>
      <c r="AB22"/>
      <c r="AC22"/>
      <c r="AD22"/>
      <c r="AE22"/>
      <c r="AF22">
        <v>30.466965</v>
      </c>
      <c r="AG22">
        <v>114.356706</v>
      </c>
      <c r="AH22" t="s">
        <v>171</v>
      </c>
      <c r="AI22">
        <v>58</v>
      </c>
      <c r="AJ22">
        <v>100</v>
      </c>
      <c r="AK22" t="s">
        <v>86</v>
      </c>
      <c r="AL22">
        <v>40</v>
      </c>
      <c r="AM22">
        <v>5</v>
      </c>
      <c r="AN22" t="s">
        <v>172</v>
      </c>
      <c r="AO22" t="s">
        <v>173</v>
      </c>
      <c r="AP22" t="s">
        <v>174</v>
      </c>
      <c r="AQ22" t="s">
        <v>89</v>
      </c>
      <c r="AR22" t="s">
        <v>177</v>
      </c>
      <c r="AS22" t="s">
        <v>82</v>
      </c>
      <c r="AT22" t="s">
        <v>90</v>
      </c>
      <c r="AU22" t="s">
        <v>91</v>
      </c>
      <c r="AV22" t="s">
        <v>92</v>
      </c>
      <c r="AW22" t="s">
        <v>93</v>
      </c>
      <c r="AX22" t="s">
        <v>94</v>
      </c>
      <c r="AY22" t="s">
        <v>95</v>
      </c>
      <c r="AZ22">
        <v>40.99</v>
      </c>
      <c r="BA22">
        <v>351.55267</v>
      </c>
      <c r="BB22">
        <v>5</v>
      </c>
      <c r="BC22">
        <v>53.808</v>
      </c>
      <c r="BD22">
        <v>24.26275</v>
      </c>
      <c r="BE22">
        <v>5</v>
      </c>
      <c r="BF22">
        <v>44.848</v>
      </c>
      <c r="BG22">
        <v>378.61222</v>
      </c>
      <c r="BH22">
        <v>5</v>
      </c>
      <c r="BI22">
        <v>50.582</v>
      </c>
      <c r="BJ22">
        <v>338.58262</v>
      </c>
      <c r="BK22">
        <v>5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</row>
    <row r="23" s="1" customFormat="1" ht="15" customHeight="1" spans="1:76">
      <c r="A23">
        <v>8</v>
      </c>
      <c r="B23">
        <v>23</v>
      </c>
      <c r="C23" t="s">
        <v>164</v>
      </c>
      <c r="D23" t="s">
        <v>165</v>
      </c>
      <c r="E23">
        <v>2022</v>
      </c>
      <c r="F23" t="s">
        <v>166</v>
      </c>
      <c r="G23" t="s">
        <v>167</v>
      </c>
      <c r="H23" t="s">
        <v>80</v>
      </c>
      <c r="I23" t="s">
        <v>110</v>
      </c>
      <c r="J23" t="s">
        <v>96</v>
      </c>
      <c r="K23" t="s">
        <v>9</v>
      </c>
      <c r="L23" t="s">
        <v>146</v>
      </c>
      <c r="M23" t="s">
        <v>147</v>
      </c>
      <c r="N23" t="s">
        <v>148</v>
      </c>
      <c r="O23" t="s">
        <v>112</v>
      </c>
      <c r="P23" t="s">
        <v>149</v>
      </c>
      <c r="Q23" t="s">
        <v>102</v>
      </c>
      <c r="R23" t="s">
        <v>103</v>
      </c>
      <c r="S23" t="s">
        <v>104</v>
      </c>
      <c r="T23">
        <v>2.438</v>
      </c>
      <c r="U23">
        <v>5.5</v>
      </c>
      <c r="V23">
        <v>0.1</v>
      </c>
      <c r="W23"/>
      <c r="X23">
        <v>0.022</v>
      </c>
      <c r="Y23">
        <v>0.42</v>
      </c>
      <c r="Z23">
        <v>18.12</v>
      </c>
      <c r="AA23"/>
      <c r="AB23" t="s">
        <v>105</v>
      </c>
      <c r="AC23" t="s">
        <v>170</v>
      </c>
      <c r="AD23"/>
      <c r="AE23"/>
      <c r="AF23">
        <v>30.466965</v>
      </c>
      <c r="AG23">
        <v>114.356706</v>
      </c>
      <c r="AH23" t="s">
        <v>171</v>
      </c>
      <c r="AI23">
        <v>58</v>
      </c>
      <c r="AJ23">
        <v>100</v>
      </c>
      <c r="AK23" t="s">
        <v>86</v>
      </c>
      <c r="AL23">
        <v>40</v>
      </c>
      <c r="AM23">
        <v>5</v>
      </c>
      <c r="AN23" t="s">
        <v>172</v>
      </c>
      <c r="AO23" t="s">
        <v>173</v>
      </c>
      <c r="AP23" t="s">
        <v>174</v>
      </c>
      <c r="AQ23" t="s">
        <v>89</v>
      </c>
      <c r="AR23" t="s">
        <v>177</v>
      </c>
      <c r="AS23" t="s">
        <v>82</v>
      </c>
      <c r="AT23" t="s">
        <v>90</v>
      </c>
      <c r="AU23" t="s">
        <v>119</v>
      </c>
      <c r="AV23" t="s">
        <v>175</v>
      </c>
      <c r="AW23" t="s">
        <v>91</v>
      </c>
      <c r="AX23" t="s">
        <v>92</v>
      </c>
      <c r="AY23" t="s">
        <v>163</v>
      </c>
      <c r="AZ23">
        <v>4.41333333333333</v>
      </c>
      <c r="BA23">
        <v>1.51809749357543</v>
      </c>
      <c r="BB23">
        <v>5</v>
      </c>
      <c r="BC23">
        <v>2.514</v>
      </c>
      <c r="BD23">
        <v>0.345441746174373</v>
      </c>
      <c r="BE23">
        <v>5</v>
      </c>
      <c r="BF23">
        <v>4.724</v>
      </c>
      <c r="BG23">
        <v>0.847514011683583</v>
      </c>
      <c r="BH23">
        <v>5</v>
      </c>
      <c r="BI23">
        <v>2.26</v>
      </c>
      <c r="BJ23">
        <v>0.686840592859799</v>
      </c>
      <c r="BK23">
        <v>5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="1" customFormat="1" ht="15" customHeight="1" spans="1:76">
      <c r="A24">
        <v>9</v>
      </c>
      <c r="B24">
        <v>24</v>
      </c>
      <c r="C24" t="s">
        <v>178</v>
      </c>
      <c r="D24" t="s">
        <v>179</v>
      </c>
      <c r="E24">
        <v>2021</v>
      </c>
      <c r="F24" t="s">
        <v>180</v>
      </c>
      <c r="G24" t="s">
        <v>125</v>
      </c>
      <c r="H24" t="s">
        <v>80</v>
      </c>
      <c r="I24" t="s">
        <v>110</v>
      </c>
      <c r="J24" t="s">
        <v>96</v>
      </c>
      <c r="K24" t="s">
        <v>9</v>
      </c>
      <c r="L24" t="s">
        <v>97</v>
      </c>
      <c r="M24" t="s">
        <v>98</v>
      </c>
      <c r="N24" t="s">
        <v>181</v>
      </c>
      <c r="O24" t="s">
        <v>100</v>
      </c>
      <c r="P24" t="s">
        <v>113</v>
      </c>
      <c r="Q24" t="s">
        <v>113</v>
      </c>
      <c r="R24" t="s">
        <v>113</v>
      </c>
      <c r="S24" t="s">
        <v>113</v>
      </c>
      <c r="T24"/>
      <c r="U24">
        <v>2.04</v>
      </c>
      <c r="V24"/>
      <c r="W24"/>
      <c r="X24"/>
      <c r="Y24">
        <v>0.084</v>
      </c>
      <c r="Z24">
        <v>22.6</v>
      </c>
      <c r="AA24"/>
      <c r="AB24" t="s">
        <v>105</v>
      </c>
      <c r="AC24" t="s">
        <v>105</v>
      </c>
      <c r="AD24">
        <v>9.25</v>
      </c>
      <c r="AE24"/>
      <c r="AF24">
        <v>30.19709638</v>
      </c>
      <c r="AG24">
        <v>114.4318778</v>
      </c>
      <c r="AH24" t="s">
        <v>182</v>
      </c>
      <c r="AI24">
        <v>55</v>
      </c>
      <c r="AJ24">
        <v>9.848</v>
      </c>
      <c r="AK24" t="s">
        <v>86</v>
      </c>
      <c r="AL24">
        <v>60</v>
      </c>
      <c r="AM24">
        <v>6</v>
      </c>
      <c r="AN24" t="s">
        <v>87</v>
      </c>
      <c r="AO24" t="s">
        <v>183</v>
      </c>
      <c r="AP24" t="s">
        <v>162</v>
      </c>
      <c r="AQ24" t="s">
        <v>89</v>
      </c>
      <c r="AR24" t="s">
        <v>89</v>
      </c>
      <c r="AS24" t="s">
        <v>82</v>
      </c>
      <c r="AT24" t="s">
        <v>90</v>
      </c>
      <c r="AU24" t="s">
        <v>91</v>
      </c>
      <c r="AV24" t="s">
        <v>134</v>
      </c>
      <c r="AW24" t="s">
        <v>119</v>
      </c>
      <c r="AX24" t="s">
        <v>184</v>
      </c>
      <c r="AY24" t="s">
        <v>163</v>
      </c>
      <c r="AZ24">
        <v>1.962825279</v>
      </c>
      <c r="BA24">
        <v>1.529792851</v>
      </c>
      <c r="BB24">
        <v>6</v>
      </c>
      <c r="BC24">
        <v>9.858736059</v>
      </c>
      <c r="BD24">
        <v>6.73837327</v>
      </c>
      <c r="BE24">
        <v>6</v>
      </c>
      <c r="BF24">
        <v>0.356877323</v>
      </c>
      <c r="BG24">
        <v>0.218541836</v>
      </c>
      <c r="BH24">
        <v>6</v>
      </c>
      <c r="BI24">
        <v>0.401486989</v>
      </c>
      <c r="BJ24">
        <v>0.109270918</v>
      </c>
      <c r="BK24">
        <v>6</v>
      </c>
      <c r="BL24"/>
      <c r="BM24"/>
      <c r="BN24"/>
      <c r="BO24"/>
      <c r="BP24"/>
      <c r="BQ24"/>
      <c r="BR24"/>
      <c r="BS24"/>
      <c r="BT24"/>
      <c r="BU24"/>
      <c r="BV24"/>
      <c r="BW24"/>
      <c r="BX24"/>
    </row>
    <row r="25" s="1" customFormat="1" ht="15" customHeight="1" spans="1:76">
      <c r="A25">
        <v>9</v>
      </c>
      <c r="B25">
        <v>25</v>
      </c>
      <c r="C25" t="s">
        <v>178</v>
      </c>
      <c r="D25" t="s">
        <v>179</v>
      </c>
      <c r="E25">
        <v>2021</v>
      </c>
      <c r="F25" t="s">
        <v>180</v>
      </c>
      <c r="G25" t="s">
        <v>125</v>
      </c>
      <c r="H25" t="s">
        <v>80</v>
      </c>
      <c r="I25" t="s">
        <v>110</v>
      </c>
      <c r="J25" t="s">
        <v>96</v>
      </c>
      <c r="K25" t="s">
        <v>9</v>
      </c>
      <c r="L25" t="s">
        <v>97</v>
      </c>
      <c r="M25" t="s">
        <v>98</v>
      </c>
      <c r="N25" t="s">
        <v>181</v>
      </c>
      <c r="O25" t="s">
        <v>100</v>
      </c>
      <c r="P25" t="s">
        <v>113</v>
      </c>
      <c r="Q25" t="s">
        <v>113</v>
      </c>
      <c r="R25" t="s">
        <v>113</v>
      </c>
      <c r="S25" t="s">
        <v>113</v>
      </c>
      <c r="T25"/>
      <c r="U25">
        <v>2.04</v>
      </c>
      <c r="V25"/>
      <c r="W25"/>
      <c r="X25"/>
      <c r="Y25">
        <v>0.084</v>
      </c>
      <c r="Z25">
        <v>22.6</v>
      </c>
      <c r="AA25"/>
      <c r="AB25" t="s">
        <v>105</v>
      </c>
      <c r="AC25" t="s">
        <v>105</v>
      </c>
      <c r="AD25">
        <v>9.25</v>
      </c>
      <c r="AE25"/>
      <c r="AF25">
        <v>30.19709638</v>
      </c>
      <c r="AG25">
        <v>114.4318778</v>
      </c>
      <c r="AH25" t="s">
        <v>182</v>
      </c>
      <c r="AI25">
        <v>55</v>
      </c>
      <c r="AJ25">
        <v>9.848</v>
      </c>
      <c r="AK25" t="s">
        <v>86</v>
      </c>
      <c r="AL25">
        <v>60</v>
      </c>
      <c r="AM25">
        <v>6</v>
      </c>
      <c r="AN25" t="s">
        <v>87</v>
      </c>
      <c r="AO25" t="s">
        <v>183</v>
      </c>
      <c r="AP25" t="s">
        <v>162</v>
      </c>
      <c r="AQ25" t="s">
        <v>185</v>
      </c>
      <c r="AR25" t="s">
        <v>186</v>
      </c>
      <c r="AS25" t="s">
        <v>82</v>
      </c>
      <c r="AT25" t="s">
        <v>187</v>
      </c>
      <c r="AU25" t="s">
        <v>91</v>
      </c>
      <c r="AV25" t="s">
        <v>134</v>
      </c>
      <c r="AW25" t="s">
        <v>119</v>
      </c>
      <c r="AX25" t="s">
        <v>184</v>
      </c>
      <c r="AY25" t="s">
        <v>163</v>
      </c>
      <c r="AZ25">
        <v>0.053308958</v>
      </c>
      <c r="BA25">
        <v>0.019345148</v>
      </c>
      <c r="BB25">
        <v>6</v>
      </c>
      <c r="BC25">
        <v>0.096636197</v>
      </c>
      <c r="BD25">
        <v>0.01961383</v>
      </c>
      <c r="BE25">
        <v>6</v>
      </c>
      <c r="BF25">
        <v>0.013601463</v>
      </c>
      <c r="BG25">
        <v>0.011822035</v>
      </c>
      <c r="BH25">
        <v>6</v>
      </c>
      <c r="BI25">
        <v>0.016453382</v>
      </c>
      <c r="BJ25">
        <v>0.01343413</v>
      </c>
      <c r="BK25">
        <v>6</v>
      </c>
      <c r="BL25"/>
      <c r="BM25"/>
      <c r="BN25"/>
      <c r="BO25"/>
      <c r="BP25"/>
      <c r="BQ25"/>
      <c r="BR25"/>
      <c r="BS25"/>
      <c r="BT25"/>
      <c r="BU25"/>
      <c r="BV25"/>
      <c r="BW25"/>
      <c r="BX25"/>
    </row>
    <row r="26" s="1" customFormat="1" ht="15" customHeight="1" spans="1:76">
      <c r="A26">
        <v>10</v>
      </c>
      <c r="B26">
        <v>26</v>
      </c>
      <c r="C26" t="s">
        <v>188</v>
      </c>
      <c r="D26" t="s">
        <v>189</v>
      </c>
      <c r="E26">
        <v>2022</v>
      </c>
      <c r="F26" t="s">
        <v>190</v>
      </c>
      <c r="G26" t="s">
        <v>191</v>
      </c>
      <c r="H26" t="s">
        <v>80</v>
      </c>
      <c r="I26" t="s">
        <v>110</v>
      </c>
      <c r="J26" t="s">
        <v>96</v>
      </c>
      <c r="K26" t="s">
        <v>9</v>
      </c>
      <c r="L26" t="s">
        <v>97</v>
      </c>
      <c r="M26" t="s">
        <v>98</v>
      </c>
      <c r="N26" t="s">
        <v>99</v>
      </c>
      <c r="O26" t="s">
        <v>112</v>
      </c>
      <c r="P26" t="s">
        <v>101</v>
      </c>
      <c r="Q26" t="s">
        <v>102</v>
      </c>
      <c r="R26" t="s">
        <v>103</v>
      </c>
      <c r="S26" t="s">
        <v>104</v>
      </c>
      <c r="T26"/>
      <c r="U26">
        <v>3.996</v>
      </c>
      <c r="V26"/>
      <c r="W26">
        <f>7.29-3.996</f>
        <v>3.294</v>
      </c>
      <c r="X26"/>
      <c r="Y26"/>
      <c r="Z26"/>
      <c r="AA26"/>
      <c r="AB26" t="s">
        <v>105</v>
      </c>
      <c r="AC26" t="s">
        <v>105</v>
      </c>
      <c r="AD26">
        <v>8.25</v>
      </c>
      <c r="AE26"/>
      <c r="AF26">
        <v>30.2676</v>
      </c>
      <c r="AG26">
        <v>114.5695</v>
      </c>
      <c r="AH26" t="s">
        <v>154</v>
      </c>
      <c r="AI26">
        <v>30</v>
      </c>
      <c r="AJ26">
        <v>160</v>
      </c>
      <c r="AK26" t="s">
        <v>86</v>
      </c>
      <c r="AL26">
        <v>20</v>
      </c>
      <c r="AM26">
        <v>5</v>
      </c>
      <c r="AN26" t="s">
        <v>161</v>
      </c>
      <c r="AO26" t="s">
        <v>117</v>
      </c>
      <c r="AP26" t="s">
        <v>192</v>
      </c>
      <c r="AQ26" t="s">
        <v>89</v>
      </c>
      <c r="AR26" t="s">
        <v>89</v>
      </c>
      <c r="AS26" t="s">
        <v>82</v>
      </c>
      <c r="AT26" t="s">
        <v>90</v>
      </c>
      <c r="AU26" t="s">
        <v>193</v>
      </c>
      <c r="AV26" t="s">
        <v>193</v>
      </c>
      <c r="AW26" t="s">
        <v>91</v>
      </c>
      <c r="AX26" t="s">
        <v>134</v>
      </c>
      <c r="AY26" t="s">
        <v>194</v>
      </c>
      <c r="AZ26">
        <v>18.8117394416607</v>
      </c>
      <c r="BA26">
        <f>24.0300644237652-18.8117394416607</f>
        <v>5.2183249821045</v>
      </c>
      <c r="BB26">
        <v>5</v>
      </c>
      <c r="BC26">
        <v>26.9076592698639</v>
      </c>
      <c r="BD26">
        <f>32.0400858983536-26.9076592698639</f>
        <v>5.1324266284897</v>
      </c>
      <c r="BE26">
        <v>5</v>
      </c>
      <c r="BF26">
        <v>21.8181818181818</v>
      </c>
      <c r="BG26">
        <f>24.5669291338582-21.8181818181818</f>
        <v>2.7487473156764</v>
      </c>
      <c r="BH26">
        <v>5</v>
      </c>
      <c r="BI26">
        <v>27.6592698639942</v>
      </c>
      <c r="BJ26">
        <f>31.2455261274158-27.6592698639942</f>
        <v>3.5862562634216</v>
      </c>
      <c r="BK26">
        <v>5</v>
      </c>
      <c r="BL26"/>
      <c r="BM26"/>
      <c r="BN26"/>
      <c r="BO26"/>
      <c r="BP26"/>
      <c r="BQ26"/>
      <c r="BR26"/>
      <c r="BS26"/>
      <c r="BT26"/>
      <c r="BU26"/>
      <c r="BV26"/>
      <c r="BW26"/>
      <c r="BX26"/>
    </row>
    <row r="27" s="1" customFormat="1" ht="15" customHeight="1" spans="1:76">
      <c r="A27">
        <v>11</v>
      </c>
      <c r="B27">
        <v>27</v>
      </c>
      <c r="C27" t="s">
        <v>195</v>
      </c>
      <c r="D27" t="s">
        <v>196</v>
      </c>
      <c r="E27">
        <v>1991</v>
      </c>
      <c r="F27" t="s">
        <v>197</v>
      </c>
      <c r="G27" t="s">
        <v>109</v>
      </c>
      <c r="H27" t="s">
        <v>198</v>
      </c>
      <c r="I27" t="s">
        <v>81</v>
      </c>
      <c r="J27" t="s">
        <v>96</v>
      </c>
      <c r="K27" t="s">
        <v>9</v>
      </c>
      <c r="L27" t="s">
        <v>126</v>
      </c>
      <c r="M27" t="s">
        <v>127</v>
      </c>
      <c r="N27" t="s">
        <v>128</v>
      </c>
      <c r="O27" t="s">
        <v>112</v>
      </c>
      <c r="P27" t="s">
        <v>101</v>
      </c>
      <c r="Q27" t="s">
        <v>102</v>
      </c>
      <c r="R27" t="s">
        <v>129</v>
      </c>
      <c r="S27" t="s">
        <v>104</v>
      </c>
      <c r="T27"/>
      <c r="U27"/>
      <c r="V27"/>
      <c r="W27"/>
      <c r="X27"/>
      <c r="Y27"/>
      <c r="Z27"/>
      <c r="AA27"/>
      <c r="AB27" t="s">
        <v>105</v>
      </c>
      <c r="AC27" t="s">
        <v>105</v>
      </c>
      <c r="AD27"/>
      <c r="AE27"/>
      <c r="AF27">
        <v>43.874635</v>
      </c>
      <c r="AG27">
        <v>-91.196779</v>
      </c>
      <c r="AH27" t="s">
        <v>199</v>
      </c>
      <c r="AI27">
        <v>56</v>
      </c>
      <c r="AJ27">
        <v>1200</v>
      </c>
      <c r="AK27" t="s">
        <v>86</v>
      </c>
      <c r="AL27">
        <v>80</v>
      </c>
      <c r="AM27">
        <v>10</v>
      </c>
      <c r="AN27"/>
      <c r="AO27"/>
      <c r="AP27" t="s">
        <v>200</v>
      </c>
      <c r="AQ27" t="s">
        <v>89</v>
      </c>
      <c r="AR27" t="s">
        <v>89</v>
      </c>
      <c r="AS27" t="s">
        <v>82</v>
      </c>
      <c r="AT27" t="s">
        <v>90</v>
      </c>
      <c r="AU27" t="s">
        <v>193</v>
      </c>
      <c r="AV27" t="s">
        <v>193</v>
      </c>
      <c r="AW27" t="s">
        <v>119</v>
      </c>
      <c r="AX27" t="s">
        <v>175</v>
      </c>
      <c r="AY27" t="s">
        <v>201</v>
      </c>
      <c r="AZ27">
        <v>1.334080717</v>
      </c>
      <c r="BA27">
        <v>0.594170404</v>
      </c>
      <c r="BB27">
        <v>10</v>
      </c>
      <c r="BC27">
        <v>2.062780269</v>
      </c>
      <c r="BD27">
        <v>0.582959641</v>
      </c>
      <c r="BE27">
        <v>10</v>
      </c>
      <c r="BF27">
        <v>3.295964126</v>
      </c>
      <c r="BG27">
        <v>0.695067265</v>
      </c>
      <c r="BH27">
        <v>10</v>
      </c>
      <c r="BI27">
        <v>6.076233184</v>
      </c>
      <c r="BJ27">
        <v>0.605381166</v>
      </c>
      <c r="BK27">
        <v>10</v>
      </c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="1" customFormat="1" ht="15" customHeight="1" spans="1:76">
      <c r="A28">
        <v>11</v>
      </c>
      <c r="B28">
        <v>28</v>
      </c>
      <c r="C28" t="s">
        <v>195</v>
      </c>
      <c r="D28" t="s">
        <v>196</v>
      </c>
      <c r="E28">
        <v>1991</v>
      </c>
      <c r="F28" t="s">
        <v>197</v>
      </c>
      <c r="G28" t="s">
        <v>109</v>
      </c>
      <c r="H28" t="s">
        <v>198</v>
      </c>
      <c r="I28" t="s">
        <v>81</v>
      </c>
      <c r="J28" t="s">
        <v>96</v>
      </c>
      <c r="K28" t="s">
        <v>9</v>
      </c>
      <c r="L28" t="s">
        <v>126</v>
      </c>
      <c r="M28" t="s">
        <v>168</v>
      </c>
      <c r="N28" t="s">
        <v>202</v>
      </c>
      <c r="O28" t="s">
        <v>112</v>
      </c>
      <c r="P28" t="s">
        <v>149</v>
      </c>
      <c r="Q28" t="s">
        <v>102</v>
      </c>
      <c r="R28" t="s">
        <v>129</v>
      </c>
      <c r="S28" t="s">
        <v>104</v>
      </c>
      <c r="T28"/>
      <c r="U28"/>
      <c r="V28"/>
      <c r="W28"/>
      <c r="X28"/>
      <c r="Y28"/>
      <c r="Z28"/>
      <c r="AA28"/>
      <c r="AB28" t="s">
        <v>105</v>
      </c>
      <c r="AC28" t="s">
        <v>105</v>
      </c>
      <c r="AD28"/>
      <c r="AE28"/>
      <c r="AF28">
        <v>43.874635</v>
      </c>
      <c r="AG28">
        <v>-91.196779</v>
      </c>
      <c r="AH28" t="s">
        <v>199</v>
      </c>
      <c r="AI28">
        <v>56</v>
      </c>
      <c r="AJ28">
        <v>1200</v>
      </c>
      <c r="AK28" t="s">
        <v>86</v>
      </c>
      <c r="AL28">
        <v>80</v>
      </c>
      <c r="AM28">
        <v>10</v>
      </c>
      <c r="AN28"/>
      <c r="AO28"/>
      <c r="AP28" t="s">
        <v>200</v>
      </c>
      <c r="AQ28" t="s">
        <v>89</v>
      </c>
      <c r="AR28" t="s">
        <v>89</v>
      </c>
      <c r="AS28" t="s">
        <v>82</v>
      </c>
      <c r="AT28" t="s">
        <v>90</v>
      </c>
      <c r="AU28" t="s">
        <v>193</v>
      </c>
      <c r="AV28" t="s">
        <v>193</v>
      </c>
      <c r="AW28" t="s">
        <v>119</v>
      </c>
      <c r="AX28" t="s">
        <v>175</v>
      </c>
      <c r="AY28" t="s">
        <v>201</v>
      </c>
      <c r="AZ28">
        <v>2.587176603</v>
      </c>
      <c r="BA28">
        <v>0.31496063</v>
      </c>
      <c r="BB28">
        <v>10</v>
      </c>
      <c r="BC28">
        <v>2.632170979</v>
      </c>
      <c r="BD28">
        <v>0.57367829</v>
      </c>
      <c r="BE28">
        <v>10</v>
      </c>
      <c r="BF28">
        <v>4.094488189</v>
      </c>
      <c r="BG28">
        <v>0.382452193</v>
      </c>
      <c r="BH28">
        <v>10</v>
      </c>
      <c r="BI28">
        <v>3.847019123</v>
      </c>
      <c r="BJ28">
        <v>0.179977503</v>
      </c>
      <c r="BK28">
        <v>10</v>
      </c>
      <c r="BL28"/>
      <c r="BM28"/>
      <c r="BN28"/>
      <c r="BO28"/>
      <c r="BP28"/>
      <c r="BQ28"/>
      <c r="BR28"/>
      <c r="BS28"/>
      <c r="BT28"/>
      <c r="BU28"/>
      <c r="BV28"/>
      <c r="BW28"/>
      <c r="BX28"/>
    </row>
    <row r="29" s="1" customFormat="1" ht="15" customHeight="1" spans="1:76">
      <c r="A29">
        <v>11</v>
      </c>
      <c r="B29">
        <v>29</v>
      </c>
      <c r="C29" t="s">
        <v>195</v>
      </c>
      <c r="D29" t="s">
        <v>196</v>
      </c>
      <c r="E29">
        <v>1991</v>
      </c>
      <c r="F29" t="s">
        <v>197</v>
      </c>
      <c r="G29" t="s">
        <v>109</v>
      </c>
      <c r="H29" t="s">
        <v>198</v>
      </c>
      <c r="I29" t="s">
        <v>81</v>
      </c>
      <c r="J29" t="s">
        <v>96</v>
      </c>
      <c r="K29" t="s">
        <v>9</v>
      </c>
      <c r="L29" t="s">
        <v>126</v>
      </c>
      <c r="M29" t="s">
        <v>127</v>
      </c>
      <c r="N29" t="s">
        <v>128</v>
      </c>
      <c r="O29" t="s">
        <v>112</v>
      </c>
      <c r="P29" t="s">
        <v>101</v>
      </c>
      <c r="Q29" t="s">
        <v>102</v>
      </c>
      <c r="R29" t="s">
        <v>129</v>
      </c>
      <c r="S29" t="s">
        <v>104</v>
      </c>
      <c r="T29"/>
      <c r="U29"/>
      <c r="V29"/>
      <c r="W29"/>
      <c r="X29"/>
      <c r="Y29"/>
      <c r="Z29"/>
      <c r="AA29"/>
      <c r="AB29" t="s">
        <v>105</v>
      </c>
      <c r="AC29" t="s">
        <v>105</v>
      </c>
      <c r="AD29"/>
      <c r="AE29"/>
      <c r="AF29">
        <v>43.874635</v>
      </c>
      <c r="AG29">
        <v>-91.196779</v>
      </c>
      <c r="AH29" t="s">
        <v>199</v>
      </c>
      <c r="AI29">
        <v>56</v>
      </c>
      <c r="AJ29">
        <v>1200</v>
      </c>
      <c r="AK29" t="s">
        <v>86</v>
      </c>
      <c r="AL29">
        <v>80</v>
      </c>
      <c r="AM29">
        <v>10</v>
      </c>
      <c r="AN29"/>
      <c r="AO29"/>
      <c r="AP29" t="s">
        <v>200</v>
      </c>
      <c r="AQ29" t="s">
        <v>89</v>
      </c>
      <c r="AR29" t="s">
        <v>89</v>
      </c>
      <c r="AS29" t="s">
        <v>82</v>
      </c>
      <c r="AT29" t="s">
        <v>90</v>
      </c>
      <c r="AU29" t="s">
        <v>193</v>
      </c>
      <c r="AV29" t="s">
        <v>193</v>
      </c>
      <c r="AW29" t="s">
        <v>91</v>
      </c>
      <c r="AX29" t="s">
        <v>134</v>
      </c>
      <c r="AY29" t="s">
        <v>194</v>
      </c>
      <c r="AZ29">
        <v>1.334080717</v>
      </c>
      <c r="BA29">
        <v>0.594170404</v>
      </c>
      <c r="BB29">
        <v>10</v>
      </c>
      <c r="BC29">
        <v>2.062780269</v>
      </c>
      <c r="BD29">
        <v>0.582959641</v>
      </c>
      <c r="BE29">
        <v>10</v>
      </c>
      <c r="BF29">
        <v>1.255605381</v>
      </c>
      <c r="BG29">
        <v>0.33632287</v>
      </c>
      <c r="BH29">
        <v>10</v>
      </c>
      <c r="BI29">
        <v>1.68161435</v>
      </c>
      <c r="BJ29">
        <v>0.504484305</v>
      </c>
      <c r="BK29">
        <v>10</v>
      </c>
      <c r="BL29"/>
      <c r="BM29"/>
      <c r="BN29"/>
      <c r="BO29"/>
      <c r="BP29"/>
      <c r="BQ29"/>
      <c r="BR29"/>
      <c r="BS29"/>
      <c r="BT29"/>
      <c r="BU29"/>
      <c r="BV29"/>
      <c r="BW29"/>
      <c r="BX29"/>
    </row>
    <row r="30" s="1" customFormat="1" ht="15" customHeight="1" spans="1:76">
      <c r="A30">
        <v>11</v>
      </c>
      <c r="B30">
        <v>30</v>
      </c>
      <c r="C30" t="s">
        <v>195</v>
      </c>
      <c r="D30" t="s">
        <v>196</v>
      </c>
      <c r="E30">
        <v>1991</v>
      </c>
      <c r="F30" t="s">
        <v>197</v>
      </c>
      <c r="G30" t="s">
        <v>109</v>
      </c>
      <c r="H30" t="s">
        <v>198</v>
      </c>
      <c r="I30" t="s">
        <v>81</v>
      </c>
      <c r="J30" t="s">
        <v>96</v>
      </c>
      <c r="K30" t="s">
        <v>9</v>
      </c>
      <c r="L30" t="s">
        <v>126</v>
      </c>
      <c r="M30" t="s">
        <v>168</v>
      </c>
      <c r="N30" t="s">
        <v>202</v>
      </c>
      <c r="O30" t="s">
        <v>112</v>
      </c>
      <c r="P30" t="s">
        <v>149</v>
      </c>
      <c r="Q30" t="s">
        <v>102</v>
      </c>
      <c r="R30" t="s">
        <v>129</v>
      </c>
      <c r="S30" t="s">
        <v>104</v>
      </c>
      <c r="T30"/>
      <c r="U30"/>
      <c r="V30"/>
      <c r="W30"/>
      <c r="X30"/>
      <c r="Y30"/>
      <c r="Z30"/>
      <c r="AA30"/>
      <c r="AB30" t="s">
        <v>105</v>
      </c>
      <c r="AC30" t="s">
        <v>105</v>
      </c>
      <c r="AD30"/>
      <c r="AE30"/>
      <c r="AF30">
        <v>43.874635</v>
      </c>
      <c r="AG30">
        <v>-91.196779</v>
      </c>
      <c r="AH30" t="s">
        <v>199</v>
      </c>
      <c r="AI30">
        <v>56</v>
      </c>
      <c r="AJ30">
        <v>1200</v>
      </c>
      <c r="AK30" t="s">
        <v>86</v>
      </c>
      <c r="AL30">
        <v>80</v>
      </c>
      <c r="AM30">
        <v>10</v>
      </c>
      <c r="AN30"/>
      <c r="AO30"/>
      <c r="AP30" t="s">
        <v>200</v>
      </c>
      <c r="AQ30" t="s">
        <v>89</v>
      </c>
      <c r="AR30" t="s">
        <v>89</v>
      </c>
      <c r="AS30" t="s">
        <v>82</v>
      </c>
      <c r="AT30" t="s">
        <v>90</v>
      </c>
      <c r="AU30" t="s">
        <v>193</v>
      </c>
      <c r="AV30" t="s">
        <v>193</v>
      </c>
      <c r="AW30" t="s">
        <v>91</v>
      </c>
      <c r="AX30" t="s">
        <v>134</v>
      </c>
      <c r="AY30" t="s">
        <v>194</v>
      </c>
      <c r="AZ30">
        <v>2.587176603</v>
      </c>
      <c r="BA30">
        <v>0.31496063</v>
      </c>
      <c r="BB30">
        <v>10</v>
      </c>
      <c r="BC30">
        <v>2.632170979</v>
      </c>
      <c r="BD30">
        <v>0.57367829</v>
      </c>
      <c r="BE30">
        <v>10</v>
      </c>
      <c r="BF30">
        <v>3.138357705</v>
      </c>
      <c r="BG30">
        <v>0.191226097</v>
      </c>
      <c r="BH30">
        <v>10</v>
      </c>
      <c r="BI30">
        <v>4.094488189</v>
      </c>
      <c r="BJ30">
        <v>0.269966254</v>
      </c>
      <c r="BK30">
        <v>10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</row>
    <row r="31" s="1" customFormat="1" ht="15" customHeight="1" spans="1:76">
      <c r="A31">
        <v>11</v>
      </c>
      <c r="B31">
        <v>31</v>
      </c>
      <c r="C31" t="s">
        <v>195</v>
      </c>
      <c r="D31" t="s">
        <v>196</v>
      </c>
      <c r="E31">
        <v>1991</v>
      </c>
      <c r="F31" t="s">
        <v>197</v>
      </c>
      <c r="G31" t="s">
        <v>109</v>
      </c>
      <c r="H31" t="s">
        <v>198</v>
      </c>
      <c r="I31" t="s">
        <v>81</v>
      </c>
      <c r="J31" t="s">
        <v>96</v>
      </c>
      <c r="K31" t="s">
        <v>9</v>
      </c>
      <c r="L31" t="s">
        <v>126</v>
      </c>
      <c r="M31" t="s">
        <v>127</v>
      </c>
      <c r="N31" t="s">
        <v>128</v>
      </c>
      <c r="O31" t="s">
        <v>112</v>
      </c>
      <c r="P31" t="s">
        <v>101</v>
      </c>
      <c r="Q31" t="s">
        <v>102</v>
      </c>
      <c r="R31" t="s">
        <v>129</v>
      </c>
      <c r="S31" t="s">
        <v>104</v>
      </c>
      <c r="T31"/>
      <c r="U31"/>
      <c r="V31"/>
      <c r="W31"/>
      <c r="X31"/>
      <c r="Y31"/>
      <c r="Z31"/>
      <c r="AA31"/>
      <c r="AB31" t="s">
        <v>105</v>
      </c>
      <c r="AC31" t="s">
        <v>105</v>
      </c>
      <c r="AD31"/>
      <c r="AE31"/>
      <c r="AF31">
        <v>43.874635</v>
      </c>
      <c r="AG31">
        <v>-91.196779</v>
      </c>
      <c r="AH31" t="s">
        <v>199</v>
      </c>
      <c r="AI31">
        <v>56</v>
      </c>
      <c r="AJ31">
        <v>1200</v>
      </c>
      <c r="AK31" t="s">
        <v>86</v>
      </c>
      <c r="AL31">
        <v>80</v>
      </c>
      <c r="AM31">
        <v>10</v>
      </c>
      <c r="AN31"/>
      <c r="AO31"/>
      <c r="AP31" t="s">
        <v>200</v>
      </c>
      <c r="AQ31" t="s">
        <v>89</v>
      </c>
      <c r="AR31" t="s">
        <v>89</v>
      </c>
      <c r="AS31" t="s">
        <v>82</v>
      </c>
      <c r="AT31" t="s">
        <v>90</v>
      </c>
      <c r="AU31" t="s">
        <v>91</v>
      </c>
      <c r="AV31" t="s">
        <v>134</v>
      </c>
      <c r="AW31" t="s">
        <v>119</v>
      </c>
      <c r="AX31" t="s">
        <v>175</v>
      </c>
      <c r="AY31" t="s">
        <v>163</v>
      </c>
      <c r="AZ31">
        <v>1.334080717</v>
      </c>
      <c r="BA31">
        <v>0.594170404</v>
      </c>
      <c r="BB31">
        <v>10</v>
      </c>
      <c r="BC31">
        <v>1.278026906</v>
      </c>
      <c r="BD31">
        <v>0.33632287</v>
      </c>
      <c r="BE31">
        <v>10</v>
      </c>
      <c r="BF31">
        <v>3.295964126</v>
      </c>
      <c r="BG31">
        <v>0.706278027</v>
      </c>
      <c r="BH31">
        <v>10</v>
      </c>
      <c r="BI31">
        <v>4.529147982</v>
      </c>
      <c r="BJ31">
        <v>0.986547085</v>
      </c>
      <c r="BK31">
        <v>10</v>
      </c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="1" customFormat="1" ht="15" customHeight="1" spans="1:76">
      <c r="A32">
        <v>11</v>
      </c>
      <c r="B32">
        <v>32</v>
      </c>
      <c r="C32" t="s">
        <v>195</v>
      </c>
      <c r="D32" t="s">
        <v>196</v>
      </c>
      <c r="E32">
        <v>1991</v>
      </c>
      <c r="F32" t="s">
        <v>197</v>
      </c>
      <c r="G32" t="s">
        <v>109</v>
      </c>
      <c r="H32" t="s">
        <v>198</v>
      </c>
      <c r="I32" t="s">
        <v>81</v>
      </c>
      <c r="J32" t="s">
        <v>96</v>
      </c>
      <c r="K32" t="s">
        <v>9</v>
      </c>
      <c r="L32" t="s">
        <v>126</v>
      </c>
      <c r="M32" t="s">
        <v>168</v>
      </c>
      <c r="N32" t="s">
        <v>202</v>
      </c>
      <c r="O32" t="s">
        <v>112</v>
      </c>
      <c r="P32" t="s">
        <v>149</v>
      </c>
      <c r="Q32" t="s">
        <v>102</v>
      </c>
      <c r="R32" t="s">
        <v>129</v>
      </c>
      <c r="S32" t="s">
        <v>104</v>
      </c>
      <c r="T32"/>
      <c r="U32"/>
      <c r="V32"/>
      <c r="W32"/>
      <c r="X32"/>
      <c r="Y32"/>
      <c r="Z32"/>
      <c r="AA32"/>
      <c r="AB32" t="s">
        <v>105</v>
      </c>
      <c r="AC32" t="s">
        <v>105</v>
      </c>
      <c r="AD32"/>
      <c r="AE32"/>
      <c r="AF32">
        <v>43.874635</v>
      </c>
      <c r="AG32">
        <v>-91.196779</v>
      </c>
      <c r="AH32" t="s">
        <v>199</v>
      </c>
      <c r="AI32">
        <v>56</v>
      </c>
      <c r="AJ32">
        <v>1200</v>
      </c>
      <c r="AK32" t="s">
        <v>86</v>
      </c>
      <c r="AL32">
        <v>80</v>
      </c>
      <c r="AM32">
        <v>10</v>
      </c>
      <c r="AN32"/>
      <c r="AO32"/>
      <c r="AP32" t="s">
        <v>200</v>
      </c>
      <c r="AQ32" t="s">
        <v>89</v>
      </c>
      <c r="AR32" t="s">
        <v>89</v>
      </c>
      <c r="AS32" t="s">
        <v>82</v>
      </c>
      <c r="AT32" t="s">
        <v>90</v>
      </c>
      <c r="AU32" t="s">
        <v>91</v>
      </c>
      <c r="AV32" t="s">
        <v>203</v>
      </c>
      <c r="AW32" t="s">
        <v>119</v>
      </c>
      <c r="AX32" t="s">
        <v>204</v>
      </c>
      <c r="AY32" t="s">
        <v>163</v>
      </c>
      <c r="AZ32">
        <v>2.587176603</v>
      </c>
      <c r="BA32">
        <v>0.31496063</v>
      </c>
      <c r="BB32">
        <v>10</v>
      </c>
      <c r="BC32">
        <v>3.138357705</v>
      </c>
      <c r="BD32">
        <v>0.224971879</v>
      </c>
      <c r="BE32">
        <v>10</v>
      </c>
      <c r="BF32">
        <v>4.094488189</v>
      </c>
      <c r="BG32">
        <v>0.382452193</v>
      </c>
      <c r="BH32">
        <v>10</v>
      </c>
      <c r="BI32">
        <v>6.299212598</v>
      </c>
      <c r="BJ32">
        <v>0.337457818</v>
      </c>
      <c r="BK32">
        <v>10</v>
      </c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="1" customFormat="1" ht="15" customHeight="1" spans="1:76">
      <c r="A33">
        <v>12</v>
      </c>
      <c r="B33">
        <v>33</v>
      </c>
      <c r="C33" t="s">
        <v>205</v>
      </c>
      <c r="D33" t="s">
        <v>206</v>
      </c>
      <c r="E33">
        <v>2007</v>
      </c>
      <c r="F33" t="s">
        <v>207</v>
      </c>
      <c r="G33" t="s">
        <v>208</v>
      </c>
      <c r="H33" t="s">
        <v>80</v>
      </c>
      <c r="I33" t="s">
        <v>110</v>
      </c>
      <c r="J33" t="s">
        <v>96</v>
      </c>
      <c r="K33" t="s">
        <v>9</v>
      </c>
      <c r="L33" t="s">
        <v>126</v>
      </c>
      <c r="M33" t="s">
        <v>168</v>
      </c>
      <c r="N33" t="s">
        <v>209</v>
      </c>
      <c r="O33" t="s">
        <v>112</v>
      </c>
      <c r="P33" t="s">
        <v>149</v>
      </c>
      <c r="Q33" t="s">
        <v>210</v>
      </c>
      <c r="R33" t="s">
        <v>103</v>
      </c>
      <c r="S33" t="s">
        <v>104</v>
      </c>
      <c r="T33"/>
      <c r="U33"/>
      <c r="V33"/>
      <c r="W33"/>
      <c r="X33"/>
      <c r="Y33"/>
      <c r="Z33"/>
      <c r="AA33"/>
      <c r="AB33"/>
      <c r="AC33"/>
      <c r="AD33"/>
      <c r="AE33"/>
      <c r="AF33">
        <v>32.057678</v>
      </c>
      <c r="AG33">
        <v>118.805152</v>
      </c>
      <c r="AH33" t="s">
        <v>211</v>
      </c>
      <c r="AI33">
        <v>30</v>
      </c>
      <c r="AJ33">
        <v>96.38</v>
      </c>
      <c r="AK33" t="s">
        <v>86</v>
      </c>
      <c r="AL33">
        <v>12</v>
      </c>
      <c r="AM33">
        <v>3</v>
      </c>
      <c r="AN33" t="s">
        <v>131</v>
      </c>
      <c r="AO33" t="s">
        <v>87</v>
      </c>
      <c r="AP33" t="s">
        <v>142</v>
      </c>
      <c r="AQ33" t="s">
        <v>185</v>
      </c>
      <c r="AR33" t="s">
        <v>186</v>
      </c>
      <c r="AS33" t="s">
        <v>82</v>
      </c>
      <c r="AT33" t="s">
        <v>212</v>
      </c>
      <c r="AU33" t="s">
        <v>93</v>
      </c>
      <c r="AV33" t="s">
        <v>94</v>
      </c>
      <c r="AW33" t="s">
        <v>91</v>
      </c>
      <c r="AX33" t="s">
        <v>134</v>
      </c>
      <c r="AY33" t="s">
        <v>95</v>
      </c>
      <c r="AZ33">
        <v>3.832460733</v>
      </c>
      <c r="BA33">
        <v>1.741119136</v>
      </c>
      <c r="BB33">
        <v>3</v>
      </c>
      <c r="BC33">
        <v>-0.251308901</v>
      </c>
      <c r="BD33">
        <v>0.54409973</v>
      </c>
      <c r="BE33">
        <v>3</v>
      </c>
      <c r="BF33">
        <v>9.596858639</v>
      </c>
      <c r="BG33">
        <v>1.496274258</v>
      </c>
      <c r="BH33">
        <v>3</v>
      </c>
      <c r="BI33">
        <v>4.64921466</v>
      </c>
      <c r="BJ33">
        <v>1.142609433</v>
      </c>
      <c r="BK33">
        <v>3</v>
      </c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="1" customFormat="1" ht="15" customHeight="1" spans="1:76">
      <c r="A34">
        <v>13</v>
      </c>
      <c r="B34">
        <v>34</v>
      </c>
      <c r="C34" t="s">
        <v>213</v>
      </c>
      <c r="D34" t="s">
        <v>214</v>
      </c>
      <c r="E34">
        <v>2020</v>
      </c>
      <c r="F34" t="s">
        <v>215</v>
      </c>
      <c r="G34" t="s">
        <v>216</v>
      </c>
      <c r="H34" t="s">
        <v>198</v>
      </c>
      <c r="I34" t="s">
        <v>217</v>
      </c>
      <c r="J34" t="s">
        <v>96</v>
      </c>
      <c r="K34" t="s">
        <v>9</v>
      </c>
      <c r="L34" t="s">
        <v>126</v>
      </c>
      <c r="M34" t="s">
        <v>168</v>
      </c>
      <c r="N34" t="s">
        <v>209</v>
      </c>
      <c r="O34" t="s">
        <v>112</v>
      </c>
      <c r="P34" t="s">
        <v>149</v>
      </c>
      <c r="Q34" t="s">
        <v>210</v>
      </c>
      <c r="R34" t="s">
        <v>103</v>
      </c>
      <c r="S34" t="s">
        <v>104</v>
      </c>
      <c r="T34">
        <v>0.005</v>
      </c>
      <c r="U34">
        <v>2</v>
      </c>
      <c r="V34">
        <f>1.35-0.08</f>
        <v>1.27</v>
      </c>
      <c r="W34"/>
      <c r="X34">
        <v>0.067</v>
      </c>
      <c r="Y34">
        <v>0.275</v>
      </c>
      <c r="Z34">
        <v>20</v>
      </c>
      <c r="AA34">
        <v>8</v>
      </c>
      <c r="AB34" t="s">
        <v>105</v>
      </c>
      <c r="AC34" t="s">
        <v>105</v>
      </c>
      <c r="AD34">
        <v>8.812</v>
      </c>
      <c r="AE34">
        <v>6.22</v>
      </c>
      <c r="AF34">
        <v>51.986939</v>
      </c>
      <c r="AG34">
        <v>5.678287</v>
      </c>
      <c r="AH34" t="s">
        <v>218</v>
      </c>
      <c r="AI34">
        <v>60</v>
      </c>
      <c r="AJ34">
        <v>450</v>
      </c>
      <c r="AK34" t="s">
        <v>86</v>
      </c>
      <c r="AL34">
        <v>72</v>
      </c>
      <c r="AM34">
        <v>6</v>
      </c>
      <c r="AN34" t="s">
        <v>183</v>
      </c>
      <c r="AO34" t="s">
        <v>219</v>
      </c>
      <c r="AP34" t="s">
        <v>220</v>
      </c>
      <c r="AQ34" t="s">
        <v>185</v>
      </c>
      <c r="AR34" t="s">
        <v>186</v>
      </c>
      <c r="AS34" t="s">
        <v>82</v>
      </c>
      <c r="AT34" t="s">
        <v>187</v>
      </c>
      <c r="AU34" t="s">
        <v>221</v>
      </c>
      <c r="AV34" t="s">
        <v>222</v>
      </c>
      <c r="AW34" t="s">
        <v>91</v>
      </c>
      <c r="AX34" t="s">
        <v>92</v>
      </c>
      <c r="AY34" t="s">
        <v>223</v>
      </c>
      <c r="AZ34">
        <v>0.014314028</v>
      </c>
      <c r="BA34">
        <v>0.003871671</v>
      </c>
      <c r="BB34">
        <v>6</v>
      </c>
      <c r="BC34">
        <v>0.026584395</v>
      </c>
      <c r="BD34">
        <v>0.002969266</v>
      </c>
      <c r="BE34">
        <v>6</v>
      </c>
      <c r="BF34">
        <v>0.014017022</v>
      </c>
      <c r="BG34">
        <v>0.003700205</v>
      </c>
      <c r="BH34">
        <v>6</v>
      </c>
      <c r="BI34">
        <v>0.024367295</v>
      </c>
      <c r="BJ34">
        <v>0.004394412</v>
      </c>
      <c r="BK34">
        <v>6</v>
      </c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="1" customFormat="1" ht="15" customHeight="1" spans="1:76">
      <c r="A35">
        <v>13</v>
      </c>
      <c r="B35">
        <v>35</v>
      </c>
      <c r="C35" t="s">
        <v>213</v>
      </c>
      <c r="D35" t="s">
        <v>214</v>
      </c>
      <c r="E35">
        <v>2020</v>
      </c>
      <c r="F35" t="s">
        <v>215</v>
      </c>
      <c r="G35" t="s">
        <v>216</v>
      </c>
      <c r="H35" t="s">
        <v>198</v>
      </c>
      <c r="I35" t="s">
        <v>217</v>
      </c>
      <c r="J35" t="s">
        <v>96</v>
      </c>
      <c r="K35" t="s">
        <v>9</v>
      </c>
      <c r="L35" t="s">
        <v>126</v>
      </c>
      <c r="M35" t="s">
        <v>168</v>
      </c>
      <c r="N35" t="s">
        <v>209</v>
      </c>
      <c r="O35" t="s">
        <v>112</v>
      </c>
      <c r="P35" t="s">
        <v>149</v>
      </c>
      <c r="Q35" t="s">
        <v>210</v>
      </c>
      <c r="R35" t="s">
        <v>103</v>
      </c>
      <c r="S35" t="s">
        <v>104</v>
      </c>
      <c r="T35">
        <v>0.005</v>
      </c>
      <c r="U35">
        <v>2</v>
      </c>
      <c r="V35">
        <v>0.067</v>
      </c>
      <c r="W35">
        <v>1.1</v>
      </c>
      <c r="X35">
        <v>0.067</v>
      </c>
      <c r="Y35">
        <v>0.275</v>
      </c>
      <c r="Z35">
        <v>20</v>
      </c>
      <c r="AA35">
        <v>8</v>
      </c>
      <c r="AB35" t="s">
        <v>105</v>
      </c>
      <c r="AC35" t="s">
        <v>105</v>
      </c>
      <c r="AD35">
        <v>8.812</v>
      </c>
      <c r="AE35">
        <v>6.22</v>
      </c>
      <c r="AF35">
        <v>51.986939</v>
      </c>
      <c r="AG35">
        <v>5.678287</v>
      </c>
      <c r="AH35" t="s">
        <v>218</v>
      </c>
      <c r="AI35">
        <v>60</v>
      </c>
      <c r="AJ35">
        <v>450</v>
      </c>
      <c r="AK35" t="s">
        <v>86</v>
      </c>
      <c r="AL35">
        <v>72</v>
      </c>
      <c r="AM35">
        <v>6</v>
      </c>
      <c r="AN35" t="s">
        <v>183</v>
      </c>
      <c r="AO35" t="s">
        <v>219</v>
      </c>
      <c r="AP35" t="s">
        <v>220</v>
      </c>
      <c r="AQ35" t="s">
        <v>89</v>
      </c>
      <c r="AR35" t="s">
        <v>177</v>
      </c>
      <c r="AS35" t="s">
        <v>82</v>
      </c>
      <c r="AT35" t="s">
        <v>90</v>
      </c>
      <c r="AU35" t="s">
        <v>221</v>
      </c>
      <c r="AV35" t="s">
        <v>222</v>
      </c>
      <c r="AW35" t="s">
        <v>91</v>
      </c>
      <c r="AX35" t="s">
        <v>134</v>
      </c>
      <c r="AY35" t="s">
        <v>223</v>
      </c>
      <c r="AZ35">
        <v>0.065448895</v>
      </c>
      <c r="BA35">
        <v>0.017630004</v>
      </c>
      <c r="BB35">
        <v>6</v>
      </c>
      <c r="BC35">
        <v>0.133192203</v>
      </c>
      <c r="BD35">
        <v>0.015714232</v>
      </c>
      <c r="BE35">
        <v>6</v>
      </c>
      <c r="BF35">
        <v>0.103394858</v>
      </c>
      <c r="BG35">
        <v>0.03946063</v>
      </c>
      <c r="BH35">
        <v>6</v>
      </c>
      <c r="BI35">
        <v>0.315802667</v>
      </c>
      <c r="BJ35">
        <v>0.065534099</v>
      </c>
      <c r="BK35">
        <v>6</v>
      </c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="1" customFormat="1" ht="15" customHeight="1" spans="1:76">
      <c r="A36">
        <v>13</v>
      </c>
      <c r="B36">
        <v>36</v>
      </c>
      <c r="C36" t="s">
        <v>213</v>
      </c>
      <c r="D36" t="s">
        <v>214</v>
      </c>
      <c r="E36">
        <v>2020</v>
      </c>
      <c r="F36" t="s">
        <v>215</v>
      </c>
      <c r="G36" t="s">
        <v>216</v>
      </c>
      <c r="H36" t="s">
        <v>198</v>
      </c>
      <c r="I36" t="s">
        <v>217</v>
      </c>
      <c r="J36" t="s">
        <v>96</v>
      </c>
      <c r="K36" t="s">
        <v>9</v>
      </c>
      <c r="L36" t="s">
        <v>126</v>
      </c>
      <c r="M36" t="s">
        <v>168</v>
      </c>
      <c r="N36" t="s">
        <v>209</v>
      </c>
      <c r="O36" t="s">
        <v>112</v>
      </c>
      <c r="P36" t="s">
        <v>149</v>
      </c>
      <c r="Q36" t="s">
        <v>210</v>
      </c>
      <c r="R36" t="s">
        <v>103</v>
      </c>
      <c r="S36" t="s">
        <v>104</v>
      </c>
      <c r="T36">
        <v>0.005</v>
      </c>
      <c r="U36">
        <v>2</v>
      </c>
      <c r="V36">
        <v>0.067</v>
      </c>
      <c r="W36">
        <v>1.1</v>
      </c>
      <c r="X36">
        <v>0.067</v>
      </c>
      <c r="Y36">
        <v>0.275</v>
      </c>
      <c r="Z36">
        <v>20</v>
      </c>
      <c r="AA36">
        <v>8</v>
      </c>
      <c r="AB36" t="s">
        <v>105</v>
      </c>
      <c r="AC36" t="s">
        <v>105</v>
      </c>
      <c r="AD36">
        <v>8.812</v>
      </c>
      <c r="AE36">
        <v>6.22</v>
      </c>
      <c r="AF36">
        <v>51.986939</v>
      </c>
      <c r="AG36">
        <v>5.678287</v>
      </c>
      <c r="AH36" t="s">
        <v>218</v>
      </c>
      <c r="AI36">
        <v>60</v>
      </c>
      <c r="AJ36">
        <v>450</v>
      </c>
      <c r="AK36" t="s">
        <v>86</v>
      </c>
      <c r="AL36">
        <v>72</v>
      </c>
      <c r="AM36">
        <v>6</v>
      </c>
      <c r="AN36" t="s">
        <v>183</v>
      </c>
      <c r="AO36" t="s">
        <v>219</v>
      </c>
      <c r="AP36" t="s">
        <v>220</v>
      </c>
      <c r="AQ36" t="s">
        <v>185</v>
      </c>
      <c r="AR36" t="s">
        <v>186</v>
      </c>
      <c r="AS36" t="s">
        <v>82</v>
      </c>
      <c r="AT36" t="s">
        <v>187</v>
      </c>
      <c r="AU36" t="s">
        <v>221</v>
      </c>
      <c r="AV36" t="s">
        <v>222</v>
      </c>
      <c r="AW36" t="s">
        <v>91</v>
      </c>
      <c r="AX36" t="s">
        <v>134</v>
      </c>
      <c r="AY36" t="s">
        <v>223</v>
      </c>
      <c r="AZ36">
        <v>0.014314028</v>
      </c>
      <c r="BA36">
        <v>0.003871671</v>
      </c>
      <c r="BB36">
        <v>6</v>
      </c>
      <c r="BC36">
        <v>0.026584395</v>
      </c>
      <c r="BD36">
        <v>0.002969266</v>
      </c>
      <c r="BE36">
        <v>6</v>
      </c>
      <c r="BF36">
        <v>0.018857154</v>
      </c>
      <c r="BG36">
        <v>0.00413173</v>
      </c>
      <c r="BH36">
        <v>6</v>
      </c>
      <c r="BI36">
        <v>0.043824797</v>
      </c>
      <c r="BJ36">
        <v>0.003941586</v>
      </c>
      <c r="BK36">
        <v>6</v>
      </c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="1" customFormat="1" ht="15" customHeight="1" spans="1:76">
      <c r="A37">
        <v>13</v>
      </c>
      <c r="B37">
        <v>37</v>
      </c>
      <c r="C37" t="s">
        <v>213</v>
      </c>
      <c r="D37" t="s">
        <v>214</v>
      </c>
      <c r="E37">
        <v>2020</v>
      </c>
      <c r="F37" t="s">
        <v>215</v>
      </c>
      <c r="G37" t="s">
        <v>216</v>
      </c>
      <c r="H37" t="s">
        <v>198</v>
      </c>
      <c r="I37" t="s">
        <v>217</v>
      </c>
      <c r="J37" t="s">
        <v>96</v>
      </c>
      <c r="K37" t="s">
        <v>9</v>
      </c>
      <c r="L37" t="s">
        <v>126</v>
      </c>
      <c r="M37" t="s">
        <v>168</v>
      </c>
      <c r="N37" t="s">
        <v>209</v>
      </c>
      <c r="O37" t="s">
        <v>112</v>
      </c>
      <c r="P37" t="s">
        <v>149</v>
      </c>
      <c r="Q37" t="s">
        <v>210</v>
      </c>
      <c r="R37" t="s">
        <v>103</v>
      </c>
      <c r="S37" t="s">
        <v>104</v>
      </c>
      <c r="T37">
        <v>0.005</v>
      </c>
      <c r="U37">
        <v>2</v>
      </c>
      <c r="V37">
        <v>0.5</v>
      </c>
      <c r="W37">
        <f>1.1-U37</f>
        <v>-0.9</v>
      </c>
      <c r="X37">
        <v>0.067</v>
      </c>
      <c r="Y37">
        <v>0.275</v>
      </c>
      <c r="Z37">
        <v>20</v>
      </c>
      <c r="AA37"/>
      <c r="AB37" t="s">
        <v>105</v>
      </c>
      <c r="AC37" t="s">
        <v>105</v>
      </c>
      <c r="AD37">
        <v>8.812</v>
      </c>
      <c r="AE37">
        <v>6.22</v>
      </c>
      <c r="AF37">
        <v>51.986939</v>
      </c>
      <c r="AG37">
        <v>5.678287</v>
      </c>
      <c r="AH37" t="s">
        <v>218</v>
      </c>
      <c r="AI37">
        <v>60</v>
      </c>
      <c r="AJ37">
        <v>450</v>
      </c>
      <c r="AK37" t="s">
        <v>86</v>
      </c>
      <c r="AL37">
        <v>72</v>
      </c>
      <c r="AM37">
        <v>6</v>
      </c>
      <c r="AN37" t="s">
        <v>183</v>
      </c>
      <c r="AO37" t="s">
        <v>219</v>
      </c>
      <c r="AP37" t="s">
        <v>220</v>
      </c>
      <c r="AQ37" t="s">
        <v>89</v>
      </c>
      <c r="AR37" t="s">
        <v>177</v>
      </c>
      <c r="AS37" t="s">
        <v>82</v>
      </c>
      <c r="AT37" t="s">
        <v>90</v>
      </c>
      <c r="AU37" t="s">
        <v>91</v>
      </c>
      <c r="AV37" t="s">
        <v>92</v>
      </c>
      <c r="AW37" t="s">
        <v>91</v>
      </c>
      <c r="AX37" t="s">
        <v>134</v>
      </c>
      <c r="AY37" t="s">
        <v>224</v>
      </c>
      <c r="AZ37">
        <v>0.065448895</v>
      </c>
      <c r="BA37">
        <v>0.017630004</v>
      </c>
      <c r="BB37">
        <v>6</v>
      </c>
      <c r="BC37">
        <v>0.075078808</v>
      </c>
      <c r="BD37">
        <v>0.026372254</v>
      </c>
      <c r="BE37">
        <v>6</v>
      </c>
      <c r="BF37">
        <v>0.103394858</v>
      </c>
      <c r="BG37">
        <v>0.03946063</v>
      </c>
      <c r="BH37">
        <v>6</v>
      </c>
      <c r="BI37">
        <v>0.111389907</v>
      </c>
      <c r="BJ37">
        <v>0.041821751</v>
      </c>
      <c r="BK37">
        <v>6</v>
      </c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="1" customFormat="1" ht="15" customHeight="1" spans="1:76">
      <c r="A38">
        <v>13</v>
      </c>
      <c r="B38">
        <v>38</v>
      </c>
      <c r="C38" t="s">
        <v>213</v>
      </c>
      <c r="D38" t="s">
        <v>214</v>
      </c>
      <c r="E38">
        <v>2020</v>
      </c>
      <c r="F38" t="s">
        <v>215</v>
      </c>
      <c r="G38" t="s">
        <v>216</v>
      </c>
      <c r="H38" t="s">
        <v>198</v>
      </c>
      <c r="I38" t="s">
        <v>217</v>
      </c>
      <c r="J38" t="s">
        <v>96</v>
      </c>
      <c r="K38" t="s">
        <v>9</v>
      </c>
      <c r="L38" t="s">
        <v>126</v>
      </c>
      <c r="M38" t="s">
        <v>168</v>
      </c>
      <c r="N38" t="s">
        <v>209</v>
      </c>
      <c r="O38" t="s">
        <v>112</v>
      </c>
      <c r="P38" t="s">
        <v>149</v>
      </c>
      <c r="Q38" t="s">
        <v>210</v>
      </c>
      <c r="R38" t="s">
        <v>103</v>
      </c>
      <c r="S38" t="s">
        <v>104</v>
      </c>
      <c r="T38">
        <v>0.005</v>
      </c>
      <c r="U38">
        <v>2</v>
      </c>
      <c r="V38">
        <v>1.27</v>
      </c>
      <c r="W38">
        <v>0.825</v>
      </c>
      <c r="X38">
        <v>0.067</v>
      </c>
      <c r="Y38">
        <v>0.275</v>
      </c>
      <c r="Z38">
        <v>20</v>
      </c>
      <c r="AA38"/>
      <c r="AB38" t="s">
        <v>105</v>
      </c>
      <c r="AC38" t="s">
        <v>105</v>
      </c>
      <c r="AD38">
        <v>8.812</v>
      </c>
      <c r="AE38">
        <v>6.22</v>
      </c>
      <c r="AF38">
        <v>51.986939</v>
      </c>
      <c r="AG38">
        <v>5.678287</v>
      </c>
      <c r="AH38" t="s">
        <v>218</v>
      </c>
      <c r="AI38">
        <v>60</v>
      </c>
      <c r="AJ38">
        <v>450</v>
      </c>
      <c r="AK38" t="s">
        <v>86</v>
      </c>
      <c r="AL38">
        <v>72</v>
      </c>
      <c r="AM38">
        <v>6</v>
      </c>
      <c r="AN38" t="s">
        <v>183</v>
      </c>
      <c r="AO38" t="s">
        <v>219</v>
      </c>
      <c r="AP38" t="s">
        <v>220</v>
      </c>
      <c r="AQ38" t="s">
        <v>185</v>
      </c>
      <c r="AR38" t="s">
        <v>186</v>
      </c>
      <c r="AS38" t="s">
        <v>82</v>
      </c>
      <c r="AT38" t="s">
        <v>187</v>
      </c>
      <c r="AU38" t="s">
        <v>91</v>
      </c>
      <c r="AV38" t="s">
        <v>92</v>
      </c>
      <c r="AW38" t="s">
        <v>91</v>
      </c>
      <c r="AX38" t="s">
        <v>134</v>
      </c>
      <c r="AY38" t="s">
        <v>224</v>
      </c>
      <c r="AZ38">
        <v>0.014314028</v>
      </c>
      <c r="BA38">
        <v>0.003871671</v>
      </c>
      <c r="BB38">
        <v>6</v>
      </c>
      <c r="BC38">
        <v>0.014017022</v>
      </c>
      <c r="BD38">
        <v>0.003700205</v>
      </c>
      <c r="BE38">
        <v>6</v>
      </c>
      <c r="BF38">
        <v>0.018857154</v>
      </c>
      <c r="BG38">
        <v>0.00413173</v>
      </c>
      <c r="BH38">
        <v>6</v>
      </c>
      <c r="BI38">
        <v>0.019204801</v>
      </c>
      <c r="BJ38">
        <v>0.003774676</v>
      </c>
      <c r="BK38">
        <v>6</v>
      </c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="1" customFormat="1" ht="15" customHeight="1" spans="1:76">
      <c r="A39">
        <v>13</v>
      </c>
      <c r="B39">
        <v>39</v>
      </c>
      <c r="C39" t="s">
        <v>213</v>
      </c>
      <c r="D39" t="s">
        <v>214</v>
      </c>
      <c r="E39">
        <v>2020</v>
      </c>
      <c r="F39" t="s">
        <v>215</v>
      </c>
      <c r="G39" t="s">
        <v>216</v>
      </c>
      <c r="H39" t="s">
        <v>198</v>
      </c>
      <c r="I39" t="s">
        <v>217</v>
      </c>
      <c r="J39" t="s">
        <v>96</v>
      </c>
      <c r="K39" t="s">
        <v>9</v>
      </c>
      <c r="L39" t="s">
        <v>126</v>
      </c>
      <c r="M39" t="s">
        <v>168</v>
      </c>
      <c r="N39" t="s">
        <v>209</v>
      </c>
      <c r="O39" t="s">
        <v>112</v>
      </c>
      <c r="P39" t="s">
        <v>149</v>
      </c>
      <c r="Q39" t="s">
        <v>210</v>
      </c>
      <c r="R39" t="s">
        <v>103</v>
      </c>
      <c r="S39" t="s">
        <v>104</v>
      </c>
      <c r="T39">
        <v>0.005</v>
      </c>
      <c r="U39">
        <v>2</v>
      </c>
      <c r="V39">
        <v>1.27</v>
      </c>
      <c r="W39">
        <v>0.825</v>
      </c>
      <c r="X39">
        <v>0.067</v>
      </c>
      <c r="Y39">
        <v>0.275</v>
      </c>
      <c r="Z39">
        <v>20</v>
      </c>
      <c r="AA39"/>
      <c r="AB39" t="s">
        <v>105</v>
      </c>
      <c r="AC39" t="s">
        <v>105</v>
      </c>
      <c r="AD39">
        <v>8.812</v>
      </c>
      <c r="AE39">
        <v>6.22</v>
      </c>
      <c r="AF39">
        <v>51.986939</v>
      </c>
      <c r="AG39">
        <v>5.678287</v>
      </c>
      <c r="AH39" t="s">
        <v>218</v>
      </c>
      <c r="AI39">
        <v>60</v>
      </c>
      <c r="AJ39">
        <v>450</v>
      </c>
      <c r="AK39" t="s">
        <v>86</v>
      </c>
      <c r="AL39">
        <v>72</v>
      </c>
      <c r="AM39">
        <v>6</v>
      </c>
      <c r="AN39" t="s">
        <v>183</v>
      </c>
      <c r="AO39" t="s">
        <v>219</v>
      </c>
      <c r="AP39" t="s">
        <v>220</v>
      </c>
      <c r="AQ39" t="s">
        <v>185</v>
      </c>
      <c r="AR39" t="s">
        <v>186</v>
      </c>
      <c r="AS39" t="s">
        <v>82</v>
      </c>
      <c r="AT39" t="s">
        <v>187</v>
      </c>
      <c r="AU39" t="s">
        <v>91</v>
      </c>
      <c r="AV39" t="s">
        <v>92</v>
      </c>
      <c r="AW39" t="s">
        <v>91</v>
      </c>
      <c r="AX39" t="s">
        <v>134</v>
      </c>
      <c r="AY39" t="s">
        <v>224</v>
      </c>
      <c r="AZ39">
        <v>0.014314028</v>
      </c>
      <c r="BA39">
        <v>0.003871671</v>
      </c>
      <c r="BB39">
        <v>6</v>
      </c>
      <c r="BC39">
        <v>0.014017022</v>
      </c>
      <c r="BD39">
        <v>0.003700205</v>
      </c>
      <c r="BE39">
        <v>6</v>
      </c>
      <c r="BF39">
        <v>0.018857154</v>
      </c>
      <c r="BG39">
        <v>0.00413173</v>
      </c>
      <c r="BH39">
        <v>6</v>
      </c>
      <c r="BI39">
        <v>0.019204801</v>
      </c>
      <c r="BJ39">
        <v>0.003774676</v>
      </c>
      <c r="BK39">
        <v>6</v>
      </c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="1" customFormat="1" ht="15" customHeight="1" spans="1:76">
      <c r="A40">
        <v>14</v>
      </c>
      <c r="B40">
        <v>40</v>
      </c>
      <c r="C40" t="s">
        <v>225</v>
      </c>
      <c r="D40" t="s">
        <v>226</v>
      </c>
      <c r="E40">
        <v>1992</v>
      </c>
      <c r="F40" t="s">
        <v>227</v>
      </c>
      <c r="G40" t="s">
        <v>228</v>
      </c>
      <c r="H40" t="s">
        <v>198</v>
      </c>
      <c r="I40" t="s">
        <v>81</v>
      </c>
      <c r="J40" t="s">
        <v>96</v>
      </c>
      <c r="K40" t="s">
        <v>9</v>
      </c>
      <c r="L40" t="s">
        <v>126</v>
      </c>
      <c r="M40" t="s">
        <v>168</v>
      </c>
      <c r="N40" t="s">
        <v>202</v>
      </c>
      <c r="O40" t="s">
        <v>112</v>
      </c>
      <c r="P40" t="s">
        <v>149</v>
      </c>
      <c r="Q40" t="s">
        <v>102</v>
      </c>
      <c r="R40" t="s">
        <v>129</v>
      </c>
      <c r="S40" t="s">
        <v>104</v>
      </c>
      <c r="T40"/>
      <c r="U40">
        <v>1.99</v>
      </c>
      <c r="V40"/>
      <c r="W40">
        <v>8.43</v>
      </c>
      <c r="X40"/>
      <c r="Y40"/>
      <c r="Z40">
        <v>23</v>
      </c>
      <c r="AA40"/>
      <c r="AB40" t="s">
        <v>105</v>
      </c>
      <c r="AC40" t="s">
        <v>105</v>
      </c>
      <c r="AD40">
        <v>5.1</v>
      </c>
      <c r="AE40"/>
      <c r="AF40">
        <v>42.088432</v>
      </c>
      <c r="AG40">
        <v>-75.969816</v>
      </c>
      <c r="AH40" t="s">
        <v>229</v>
      </c>
      <c r="AI40">
        <v>28</v>
      </c>
      <c r="AJ40">
        <v>1200</v>
      </c>
      <c r="AK40" t="s">
        <v>86</v>
      </c>
      <c r="AL40">
        <v>30</v>
      </c>
      <c r="AM40">
        <v>20</v>
      </c>
      <c r="AN40" t="s">
        <v>131</v>
      </c>
      <c r="AO40" t="s">
        <v>131</v>
      </c>
      <c r="AP40"/>
      <c r="AQ40" t="s">
        <v>89</v>
      </c>
      <c r="AR40" t="s">
        <v>177</v>
      </c>
      <c r="AS40" t="s">
        <v>82</v>
      </c>
      <c r="AT40" t="s">
        <v>90</v>
      </c>
      <c r="AU40" t="s">
        <v>193</v>
      </c>
      <c r="AV40" t="s">
        <v>193</v>
      </c>
      <c r="AW40" t="s">
        <v>230</v>
      </c>
      <c r="AX40" t="s">
        <v>231</v>
      </c>
      <c r="AY40" t="s">
        <v>232</v>
      </c>
      <c r="AZ40">
        <v>0.282807018</v>
      </c>
      <c r="BA40">
        <v>0.400701754</v>
      </c>
      <c r="BB40">
        <v>20</v>
      </c>
      <c r="BC40">
        <v>5.854197349</v>
      </c>
      <c r="BD40">
        <v>1.104565538</v>
      </c>
      <c r="BE40">
        <v>20</v>
      </c>
      <c r="BF40">
        <v>0.21754386</v>
      </c>
      <c r="BG40">
        <v>0.08</v>
      </c>
      <c r="BH40">
        <v>20</v>
      </c>
      <c r="BI40">
        <v>4.738586156</v>
      </c>
      <c r="BJ40">
        <v>0.828424153</v>
      </c>
      <c r="BK40">
        <v>20</v>
      </c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="1" customFormat="1" ht="15" customHeight="1" spans="1:76">
      <c r="A41">
        <v>15</v>
      </c>
      <c r="B41">
        <v>41</v>
      </c>
      <c r="C41" t="s">
        <v>233</v>
      </c>
      <c r="D41" t="s">
        <v>234</v>
      </c>
      <c r="E41">
        <v>2004</v>
      </c>
      <c r="F41" t="s">
        <v>235</v>
      </c>
      <c r="G41" t="s">
        <v>236</v>
      </c>
      <c r="H41" t="s">
        <v>198</v>
      </c>
      <c r="I41" t="s">
        <v>81</v>
      </c>
      <c r="J41" t="s">
        <v>96</v>
      </c>
      <c r="K41" t="s">
        <v>9</v>
      </c>
      <c r="L41" t="s">
        <v>237</v>
      </c>
      <c r="M41" t="s">
        <v>238</v>
      </c>
      <c r="N41" t="s">
        <v>239</v>
      </c>
      <c r="O41" t="s">
        <v>112</v>
      </c>
      <c r="P41" t="s">
        <v>149</v>
      </c>
      <c r="Q41" t="s">
        <v>210</v>
      </c>
      <c r="R41" t="s">
        <v>113</v>
      </c>
      <c r="S41" t="s">
        <v>113</v>
      </c>
      <c r="T41"/>
      <c r="U41">
        <v>1.99</v>
      </c>
      <c r="V41"/>
      <c r="W41">
        <f>10.42-U41</f>
        <v>8.43</v>
      </c>
      <c r="X41"/>
      <c r="Y41"/>
      <c r="Z41">
        <v>23</v>
      </c>
      <c r="AA41"/>
      <c r="AB41" t="s">
        <v>105</v>
      </c>
      <c r="AC41" t="s">
        <v>105</v>
      </c>
      <c r="AD41">
        <v>5.1</v>
      </c>
      <c r="AE41"/>
      <c r="AF41">
        <v>42.088284</v>
      </c>
      <c r="AG41">
        <v>-75.969774</v>
      </c>
      <c r="AH41" t="s">
        <v>240</v>
      </c>
      <c r="AI41">
        <v>23</v>
      </c>
      <c r="AJ41">
        <v>1200</v>
      </c>
      <c r="AK41" t="s">
        <v>86</v>
      </c>
      <c r="AL41">
        <v>48</v>
      </c>
      <c r="AM41">
        <v>12</v>
      </c>
      <c r="AN41"/>
      <c r="AO41"/>
      <c r="AP41"/>
      <c r="AQ41" t="s">
        <v>185</v>
      </c>
      <c r="AR41" t="s">
        <v>186</v>
      </c>
      <c r="AS41" t="s">
        <v>82</v>
      </c>
      <c r="AT41" t="s">
        <v>241</v>
      </c>
      <c r="AU41" t="s">
        <v>193</v>
      </c>
      <c r="AV41" t="s">
        <v>193</v>
      </c>
      <c r="AW41" t="s">
        <v>91</v>
      </c>
      <c r="AX41" t="s">
        <v>231</v>
      </c>
      <c r="AY41" t="s">
        <v>194</v>
      </c>
      <c r="AZ41">
        <v>0.02313253</v>
      </c>
      <c r="BA41">
        <v>0.011268764</v>
      </c>
      <c r="BB41">
        <v>12</v>
      </c>
      <c r="BC41">
        <v>0.055951807</v>
      </c>
      <c r="BD41">
        <v>0.026794617</v>
      </c>
      <c r="BE41">
        <v>12</v>
      </c>
      <c r="BF41">
        <v>0.036433735</v>
      </c>
      <c r="BG41">
        <v>0.010016679</v>
      </c>
      <c r="BH41">
        <v>12</v>
      </c>
      <c r="BI41">
        <v>0.056096386</v>
      </c>
      <c r="BJ41">
        <v>0.015275436</v>
      </c>
      <c r="BK41">
        <v>12</v>
      </c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="1" customFormat="1" ht="15" customHeight="1" spans="1:76">
      <c r="A42">
        <v>15</v>
      </c>
      <c r="B42">
        <v>42</v>
      </c>
      <c r="C42" t="s">
        <v>233</v>
      </c>
      <c r="D42" t="s">
        <v>234</v>
      </c>
      <c r="E42">
        <v>2004</v>
      </c>
      <c r="F42" t="s">
        <v>235</v>
      </c>
      <c r="G42" t="s">
        <v>236</v>
      </c>
      <c r="H42" t="s">
        <v>198</v>
      </c>
      <c r="I42" t="s">
        <v>81</v>
      </c>
      <c r="J42" t="s">
        <v>96</v>
      </c>
      <c r="K42" t="s">
        <v>9</v>
      </c>
      <c r="L42" t="s">
        <v>126</v>
      </c>
      <c r="M42" t="s">
        <v>242</v>
      </c>
      <c r="N42" t="s">
        <v>243</v>
      </c>
      <c r="O42" t="s">
        <v>112</v>
      </c>
      <c r="P42" t="s">
        <v>149</v>
      </c>
      <c r="Q42" t="s">
        <v>102</v>
      </c>
      <c r="R42" t="s">
        <v>103</v>
      </c>
      <c r="S42" t="s">
        <v>104</v>
      </c>
      <c r="T42"/>
      <c r="U42">
        <v>1.99</v>
      </c>
      <c r="V42"/>
      <c r="W42">
        <f>10.42-U42</f>
        <v>8.43</v>
      </c>
      <c r="X42"/>
      <c r="Y42"/>
      <c r="Z42">
        <v>23</v>
      </c>
      <c r="AA42"/>
      <c r="AB42" t="s">
        <v>105</v>
      </c>
      <c r="AC42" t="s">
        <v>105</v>
      </c>
      <c r="AD42">
        <v>5.1</v>
      </c>
      <c r="AE42"/>
      <c r="AF42">
        <v>42.088284</v>
      </c>
      <c r="AG42">
        <v>-75.969774</v>
      </c>
      <c r="AH42" t="s">
        <v>244</v>
      </c>
      <c r="AI42">
        <v>47</v>
      </c>
      <c r="AJ42">
        <v>1200</v>
      </c>
      <c r="AK42" t="s">
        <v>86</v>
      </c>
      <c r="AL42">
        <v>48</v>
      </c>
      <c r="AM42">
        <v>12</v>
      </c>
      <c r="AN42"/>
      <c r="AO42"/>
      <c r="AP42"/>
      <c r="AQ42" t="s">
        <v>185</v>
      </c>
      <c r="AR42" t="s">
        <v>186</v>
      </c>
      <c r="AS42" t="s">
        <v>82</v>
      </c>
      <c r="AT42" t="s">
        <v>241</v>
      </c>
      <c r="AU42" t="s">
        <v>193</v>
      </c>
      <c r="AV42" t="s">
        <v>193</v>
      </c>
      <c r="AW42" t="s">
        <v>91</v>
      </c>
      <c r="AX42" t="s">
        <v>231</v>
      </c>
      <c r="AY42" t="s">
        <v>194</v>
      </c>
      <c r="AZ42">
        <v>0.007630058</v>
      </c>
      <c r="BA42">
        <v>0.013455932</v>
      </c>
      <c r="BB42">
        <v>12</v>
      </c>
      <c r="BC42">
        <v>0.046959538</v>
      </c>
      <c r="BD42">
        <v>0.018742191</v>
      </c>
      <c r="BE42">
        <v>12</v>
      </c>
      <c r="BF42">
        <v>0.010959538</v>
      </c>
      <c r="BG42">
        <v>0.011053087</v>
      </c>
      <c r="BH42">
        <v>12</v>
      </c>
      <c r="BI42">
        <v>0.050219653</v>
      </c>
      <c r="BJ42">
        <v>0.030275848</v>
      </c>
      <c r="BK42">
        <v>12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</row>
    <row r="43" s="1" customFormat="1" ht="15" customHeight="1" spans="1:76">
      <c r="A43">
        <v>15</v>
      </c>
      <c r="B43">
        <v>43</v>
      </c>
      <c r="C43" t="s">
        <v>233</v>
      </c>
      <c r="D43" t="s">
        <v>234</v>
      </c>
      <c r="E43">
        <v>2004</v>
      </c>
      <c r="F43" t="s">
        <v>235</v>
      </c>
      <c r="G43" t="s">
        <v>236</v>
      </c>
      <c r="H43" t="s">
        <v>198</v>
      </c>
      <c r="I43" t="s">
        <v>81</v>
      </c>
      <c r="J43" t="s">
        <v>96</v>
      </c>
      <c r="K43" t="s">
        <v>9</v>
      </c>
      <c r="L43" t="s">
        <v>245</v>
      </c>
      <c r="M43" t="s">
        <v>246</v>
      </c>
      <c r="N43" t="s">
        <v>247</v>
      </c>
      <c r="O43" t="s">
        <v>112</v>
      </c>
      <c r="P43" t="s">
        <v>149</v>
      </c>
      <c r="Q43" t="s">
        <v>210</v>
      </c>
      <c r="R43" t="s">
        <v>113</v>
      </c>
      <c r="S43" t="s">
        <v>248</v>
      </c>
      <c r="T43"/>
      <c r="U43">
        <v>1.99</v>
      </c>
      <c r="V43"/>
      <c r="W43">
        <f>10.42-U43</f>
        <v>8.43</v>
      </c>
      <c r="X43"/>
      <c r="Y43"/>
      <c r="Z43">
        <v>23</v>
      </c>
      <c r="AA43"/>
      <c r="AB43" t="s">
        <v>105</v>
      </c>
      <c r="AC43" t="s">
        <v>105</v>
      </c>
      <c r="AD43">
        <v>5.1</v>
      </c>
      <c r="AE43"/>
      <c r="AF43">
        <v>42.088284</v>
      </c>
      <c r="AG43">
        <v>-75.969774</v>
      </c>
      <c r="AH43" t="s">
        <v>249</v>
      </c>
      <c r="AI43">
        <v>50</v>
      </c>
      <c r="AJ43">
        <v>1200</v>
      </c>
      <c r="AK43" t="s">
        <v>86</v>
      </c>
      <c r="AL43">
        <v>48</v>
      </c>
      <c r="AM43">
        <v>12</v>
      </c>
      <c r="AN43"/>
      <c r="AO43"/>
      <c r="AP43"/>
      <c r="AQ43" t="s">
        <v>185</v>
      </c>
      <c r="AR43" t="s">
        <v>186</v>
      </c>
      <c r="AS43" t="s">
        <v>82</v>
      </c>
      <c r="AT43" t="s">
        <v>241</v>
      </c>
      <c r="AU43" t="s">
        <v>193</v>
      </c>
      <c r="AV43" t="s">
        <v>193</v>
      </c>
      <c r="AW43" t="s">
        <v>91</v>
      </c>
      <c r="AX43" t="s">
        <v>134</v>
      </c>
      <c r="AY43" t="s">
        <v>194</v>
      </c>
      <c r="AZ43">
        <v>0.01766129</v>
      </c>
      <c r="BA43">
        <v>0.010336432</v>
      </c>
      <c r="BB43">
        <v>12</v>
      </c>
      <c r="BC43">
        <v>0.020483871</v>
      </c>
      <c r="BD43">
        <v>0.010615795</v>
      </c>
      <c r="BE43">
        <v>12</v>
      </c>
      <c r="BF43">
        <v>0.003467742</v>
      </c>
      <c r="BG43">
        <v>0.004749172</v>
      </c>
      <c r="BH43">
        <v>12</v>
      </c>
      <c r="BI43">
        <v>0.008387097</v>
      </c>
      <c r="BJ43">
        <v>0.004749172</v>
      </c>
      <c r="BK43">
        <v>12</v>
      </c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 s="1" customFormat="1" ht="15" customHeight="1" spans="1:76">
      <c r="A44">
        <v>16</v>
      </c>
      <c r="B44">
        <v>44</v>
      </c>
      <c r="C44" t="s">
        <v>250</v>
      </c>
      <c r="D44" t="s">
        <v>251</v>
      </c>
      <c r="E44">
        <v>2005</v>
      </c>
      <c r="F44" t="s">
        <v>252</v>
      </c>
      <c r="G44" t="s">
        <v>253</v>
      </c>
      <c r="H44" t="s">
        <v>198</v>
      </c>
      <c r="I44" t="s">
        <v>217</v>
      </c>
      <c r="J44" t="s">
        <v>96</v>
      </c>
      <c r="K44" t="s">
        <v>9</v>
      </c>
      <c r="L44" t="s">
        <v>146</v>
      </c>
      <c r="M44" t="s">
        <v>147</v>
      </c>
      <c r="N44" t="s">
        <v>254</v>
      </c>
      <c r="O44" t="s">
        <v>112</v>
      </c>
      <c r="P44" t="s">
        <v>149</v>
      </c>
      <c r="Q44" t="s">
        <v>210</v>
      </c>
      <c r="R44" t="s">
        <v>103</v>
      </c>
      <c r="S44" t="s">
        <v>113</v>
      </c>
      <c r="T44"/>
      <c r="U44">
        <v>0.2002</v>
      </c>
      <c r="V44"/>
      <c r="W44">
        <v>2.5</v>
      </c>
      <c r="X44">
        <v>0.28</v>
      </c>
      <c r="Y44">
        <v>0.25</v>
      </c>
      <c r="Z44"/>
      <c r="AA44"/>
      <c r="AB44" t="s">
        <v>105</v>
      </c>
      <c r="AC44" t="s">
        <v>105</v>
      </c>
      <c r="AD44">
        <v>7.44</v>
      </c>
      <c r="AE44"/>
      <c r="AF44">
        <v>51.819449</v>
      </c>
      <c r="AG44">
        <v>5.86188</v>
      </c>
      <c r="AH44" t="s">
        <v>229</v>
      </c>
      <c r="AI44">
        <v>28</v>
      </c>
      <c r="AJ44">
        <v>54</v>
      </c>
      <c r="AK44" t="s">
        <v>86</v>
      </c>
      <c r="AL44">
        <v>24</v>
      </c>
      <c r="AM44">
        <v>3</v>
      </c>
      <c r="AN44"/>
      <c r="AO44"/>
      <c r="AP44"/>
      <c r="AQ44" t="s">
        <v>89</v>
      </c>
      <c r="AR44" t="s">
        <v>143</v>
      </c>
      <c r="AS44" t="s">
        <v>82</v>
      </c>
      <c r="AT44" t="s">
        <v>133</v>
      </c>
      <c r="AU44" t="s">
        <v>91</v>
      </c>
      <c r="AV44" t="s">
        <v>255</v>
      </c>
      <c r="AW44" t="s">
        <v>119</v>
      </c>
      <c r="AX44" t="s">
        <v>175</v>
      </c>
      <c r="AY44" t="s">
        <v>163</v>
      </c>
      <c r="AZ44">
        <v>572.950245269796</v>
      </c>
      <c r="BA44">
        <f>(676.944639103013-572.950245269796)*10^(1/2)</f>
        <v>328.859148401534</v>
      </c>
      <c r="BB44">
        <v>10</v>
      </c>
      <c r="BC44">
        <v>241.34548002803</v>
      </c>
      <c r="BD44">
        <f>(289.418360196215-241.34548002803)*10^(1/2)</f>
        <v>152.019795015803</v>
      </c>
      <c r="BE44">
        <v>10</v>
      </c>
      <c r="BF44">
        <v>127.540294323756</v>
      </c>
      <c r="BG44">
        <f>(171.688857743518-127.540294323756)*10^(1/2)</f>
        <v>139.61001583084</v>
      </c>
      <c r="BH44">
        <v>10</v>
      </c>
      <c r="BI44">
        <v>55.9215136650315</v>
      </c>
      <c r="BJ44">
        <f>(86.3349684653118-55.9215136650315)*10^(1/2)</f>
        <v>96.1757886834672</v>
      </c>
      <c r="BK44">
        <v>10</v>
      </c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 s="1" customFormat="1" ht="15" customHeight="1" spans="1:76">
      <c r="A45">
        <v>16</v>
      </c>
      <c r="B45">
        <v>45</v>
      </c>
      <c r="C45" t="s">
        <v>250</v>
      </c>
      <c r="D45" t="s">
        <v>251</v>
      </c>
      <c r="E45">
        <v>2005</v>
      </c>
      <c r="F45" t="s">
        <v>252</v>
      </c>
      <c r="G45" t="s">
        <v>253</v>
      </c>
      <c r="H45" t="s">
        <v>198</v>
      </c>
      <c r="I45" t="s">
        <v>217</v>
      </c>
      <c r="J45" t="s">
        <v>96</v>
      </c>
      <c r="K45" t="s">
        <v>9</v>
      </c>
      <c r="L45" t="s">
        <v>146</v>
      </c>
      <c r="M45" t="s">
        <v>147</v>
      </c>
      <c r="N45" t="s">
        <v>254</v>
      </c>
      <c r="O45" t="s">
        <v>112</v>
      </c>
      <c r="P45" t="s">
        <v>149</v>
      </c>
      <c r="Q45" t="s">
        <v>210</v>
      </c>
      <c r="R45" t="s">
        <v>103</v>
      </c>
      <c r="S45" t="s">
        <v>113</v>
      </c>
      <c r="T45"/>
      <c r="U45">
        <v>0.2002</v>
      </c>
      <c r="V45"/>
      <c r="W45">
        <v>2.5</v>
      </c>
      <c r="X45">
        <v>0.28</v>
      </c>
      <c r="Y45">
        <v>0.25</v>
      </c>
      <c r="Z45"/>
      <c r="AA45"/>
      <c r="AB45" t="s">
        <v>105</v>
      </c>
      <c r="AC45" t="s">
        <v>105</v>
      </c>
      <c r="AD45">
        <v>7.44</v>
      </c>
      <c r="AE45"/>
      <c r="AF45">
        <v>51.819449</v>
      </c>
      <c r="AG45">
        <v>5.86188</v>
      </c>
      <c r="AH45" t="s">
        <v>229</v>
      </c>
      <c r="AI45">
        <v>28</v>
      </c>
      <c r="AJ45">
        <v>54</v>
      </c>
      <c r="AK45" t="s">
        <v>86</v>
      </c>
      <c r="AL45">
        <v>24</v>
      </c>
      <c r="AM45">
        <v>3</v>
      </c>
      <c r="AN45"/>
      <c r="AO45"/>
      <c r="AP45"/>
      <c r="AQ45" t="s">
        <v>89</v>
      </c>
      <c r="AR45" t="s">
        <v>143</v>
      </c>
      <c r="AS45" t="s">
        <v>82</v>
      </c>
      <c r="AT45" t="s">
        <v>133</v>
      </c>
      <c r="AU45" t="s">
        <v>91</v>
      </c>
      <c r="AV45" t="s">
        <v>256</v>
      </c>
      <c r="AW45" t="s">
        <v>119</v>
      </c>
      <c r="AX45" t="s">
        <v>175</v>
      </c>
      <c r="AY45" t="s">
        <v>163</v>
      </c>
      <c r="AZ45">
        <v>572.950245269796</v>
      </c>
      <c r="BA45">
        <f>(676.944639103013-572.950245269796)*10^(1/2)</f>
        <v>328.859148401534</v>
      </c>
      <c r="BB45">
        <v>10</v>
      </c>
      <c r="BC45">
        <v>1092.92221443587</v>
      </c>
      <c r="BD45">
        <f>(1311.70287316047-1092.92221443587)*10^(1/2)</f>
        <v>691.845189561725</v>
      </c>
      <c r="BE45">
        <v>10</v>
      </c>
      <c r="BF45">
        <v>128.521373510862</v>
      </c>
      <c r="BG45">
        <f>(170.707778556412-128.521373510862)*10^(1/2)</f>
        <v>133.405126238357</v>
      </c>
      <c r="BH45">
        <v>11</v>
      </c>
      <c r="BI45">
        <v>649.47442186405</v>
      </c>
      <c r="BJ45">
        <f>(802.522775052557-649.47442186405)*10^(1/2)</f>
        <v>483.981388213576</v>
      </c>
      <c r="BK45">
        <v>11</v>
      </c>
      <c r="BL45"/>
      <c r="BM45"/>
      <c r="BN45"/>
      <c r="BO45"/>
      <c r="BP45"/>
      <c r="BQ45"/>
      <c r="BR45"/>
      <c r="BS45"/>
      <c r="BT45"/>
      <c r="BU45"/>
      <c r="BV45"/>
      <c r="BW45"/>
      <c r="BX45"/>
    </row>
    <row r="46" s="1" customFormat="1" ht="15" customHeight="1" spans="1:76">
      <c r="A46">
        <v>16</v>
      </c>
      <c r="B46">
        <v>46</v>
      </c>
      <c r="C46" t="s">
        <v>250</v>
      </c>
      <c r="D46" t="s">
        <v>251</v>
      </c>
      <c r="E46">
        <v>2005</v>
      </c>
      <c r="F46" t="s">
        <v>252</v>
      </c>
      <c r="G46" t="s">
        <v>253</v>
      </c>
      <c r="H46" t="s">
        <v>198</v>
      </c>
      <c r="I46" t="s">
        <v>217</v>
      </c>
      <c r="J46" t="s">
        <v>96</v>
      </c>
      <c r="K46" t="s">
        <v>9</v>
      </c>
      <c r="L46" t="s">
        <v>146</v>
      </c>
      <c r="M46" t="s">
        <v>147</v>
      </c>
      <c r="N46" t="s">
        <v>254</v>
      </c>
      <c r="O46" t="s">
        <v>112</v>
      </c>
      <c r="P46" t="s">
        <v>149</v>
      </c>
      <c r="Q46" t="s">
        <v>210</v>
      </c>
      <c r="R46" t="s">
        <v>103</v>
      </c>
      <c r="S46" t="s">
        <v>113</v>
      </c>
      <c r="T46"/>
      <c r="U46">
        <v>0.2002</v>
      </c>
      <c r="V46"/>
      <c r="W46">
        <v>2.5</v>
      </c>
      <c r="X46">
        <v>0.28</v>
      </c>
      <c r="Y46">
        <v>0.25</v>
      </c>
      <c r="Z46"/>
      <c r="AA46"/>
      <c r="AB46" t="s">
        <v>105</v>
      </c>
      <c r="AC46" t="s">
        <v>105</v>
      </c>
      <c r="AD46">
        <v>7.44</v>
      </c>
      <c r="AE46"/>
      <c r="AF46">
        <v>51.819449</v>
      </c>
      <c r="AG46">
        <v>5.86188</v>
      </c>
      <c r="AH46" t="s">
        <v>229</v>
      </c>
      <c r="AI46">
        <v>28</v>
      </c>
      <c r="AJ46">
        <v>54</v>
      </c>
      <c r="AK46" t="s">
        <v>86</v>
      </c>
      <c r="AL46">
        <v>24</v>
      </c>
      <c r="AM46">
        <v>3</v>
      </c>
      <c r="AN46"/>
      <c r="AO46"/>
      <c r="AP46"/>
      <c r="AQ46" t="s">
        <v>89</v>
      </c>
      <c r="AR46" t="s">
        <v>143</v>
      </c>
      <c r="AS46" t="s">
        <v>82</v>
      </c>
      <c r="AT46" t="s">
        <v>133</v>
      </c>
      <c r="AU46" t="s">
        <v>91</v>
      </c>
      <c r="AV46" t="s">
        <v>256</v>
      </c>
      <c r="AW46" t="s">
        <v>91</v>
      </c>
      <c r="AX46" t="s">
        <v>255</v>
      </c>
      <c r="AY46" t="s">
        <v>224</v>
      </c>
      <c r="AZ46">
        <v>572.950245269796</v>
      </c>
      <c r="BA46">
        <f>(676.944639103013-572.950245269796)*10^(1/2)</f>
        <v>328.859148401534</v>
      </c>
      <c r="BB46">
        <v>10</v>
      </c>
      <c r="BC46">
        <v>1092.92221443587</v>
      </c>
      <c r="BD46">
        <f>(1311.70287316047-1092.92221443587)*10^(1/2)</f>
        <v>691.845189561725</v>
      </c>
      <c r="BE46">
        <v>10</v>
      </c>
      <c r="BF46">
        <v>241.345480028031</v>
      </c>
      <c r="BG46">
        <f>(287.456201822004-241.345480028031)*10^(1/2)</f>
        <v>145.81490542332</v>
      </c>
      <c r="BH46">
        <v>11</v>
      </c>
      <c r="BI46">
        <v>903.573931324456</v>
      </c>
      <c r="BJ46">
        <f>(1139.03293622985-903.573931324456)*10^(1/2)</f>
        <v>744.586751097804</v>
      </c>
      <c r="BK46">
        <v>11</v>
      </c>
      <c r="BL46"/>
      <c r="BM46"/>
      <c r="BN46"/>
      <c r="BO46"/>
      <c r="BP46"/>
      <c r="BQ46"/>
      <c r="BR46"/>
      <c r="BS46"/>
      <c r="BT46"/>
      <c r="BU46"/>
      <c r="BV46"/>
      <c r="BW46"/>
      <c r="BX46"/>
    </row>
    <row r="47" s="1" customFormat="1" ht="15" customHeight="1" spans="1:76">
      <c r="A47">
        <v>17</v>
      </c>
      <c r="B47">
        <v>47</v>
      </c>
      <c r="C47" t="s">
        <v>257</v>
      </c>
      <c r="D47" t="s">
        <v>258</v>
      </c>
      <c r="E47">
        <v>2003</v>
      </c>
      <c r="F47" t="s">
        <v>259</v>
      </c>
      <c r="G47" t="s">
        <v>228</v>
      </c>
      <c r="H47" t="s">
        <v>140</v>
      </c>
      <c r="I47" t="s">
        <v>81</v>
      </c>
      <c r="J47" t="s">
        <v>96</v>
      </c>
      <c r="K47" t="s">
        <v>260</v>
      </c>
      <c r="L47" t="s">
        <v>146</v>
      </c>
      <c r="M47" t="s">
        <v>147</v>
      </c>
      <c r="N47" t="s">
        <v>261</v>
      </c>
      <c r="O47" t="s">
        <v>112</v>
      </c>
      <c r="P47" t="s">
        <v>149</v>
      </c>
      <c r="Q47" t="s">
        <v>210</v>
      </c>
      <c r="R47" t="s">
        <v>113</v>
      </c>
      <c r="S47" t="s">
        <v>113</v>
      </c>
      <c r="T47"/>
      <c r="U47"/>
      <c r="V47"/>
      <c r="W47">
        <v>1.6</v>
      </c>
      <c r="X47"/>
      <c r="Y47">
        <v>0.068</v>
      </c>
      <c r="Z47"/>
      <c r="AA47"/>
      <c r="AB47" t="s">
        <v>105</v>
      </c>
      <c r="AC47" t="s">
        <v>170</v>
      </c>
      <c r="AD47"/>
      <c r="AE47"/>
      <c r="AF47">
        <v>41.4333</v>
      </c>
      <c r="AG47">
        <v>-89.8667</v>
      </c>
      <c r="AH47" t="s">
        <v>244</v>
      </c>
      <c r="AI47">
        <v>47</v>
      </c>
      <c r="AJ47">
        <v>20.4</v>
      </c>
      <c r="AK47" t="s">
        <v>86</v>
      </c>
      <c r="AL47">
        <v>64</v>
      </c>
      <c r="AM47">
        <v>16</v>
      </c>
      <c r="AN47" t="s">
        <v>131</v>
      </c>
      <c r="AO47" t="s">
        <v>262</v>
      </c>
      <c r="AP47" t="s">
        <v>263</v>
      </c>
      <c r="AQ47" t="s">
        <v>185</v>
      </c>
      <c r="AR47" t="s">
        <v>186</v>
      </c>
      <c r="AS47" t="s">
        <v>82</v>
      </c>
      <c r="AT47" t="s">
        <v>90</v>
      </c>
      <c r="AU47" t="s">
        <v>119</v>
      </c>
      <c r="AV47" t="s">
        <v>175</v>
      </c>
      <c r="AW47" t="s">
        <v>91</v>
      </c>
      <c r="AX47" t="s">
        <v>92</v>
      </c>
      <c r="AY47" t="s">
        <v>163</v>
      </c>
      <c r="AZ47">
        <v>109</v>
      </c>
      <c r="BA47">
        <v>114</v>
      </c>
      <c r="BB47">
        <v>9</v>
      </c>
      <c r="BC47">
        <v>73.5</v>
      </c>
      <c r="BD47">
        <v>51.96152423</v>
      </c>
      <c r="BE47">
        <v>12</v>
      </c>
      <c r="BF47">
        <v>438</v>
      </c>
      <c r="BG47">
        <v>389.3995378</v>
      </c>
      <c r="BH47">
        <v>13</v>
      </c>
      <c r="BI47">
        <v>170</v>
      </c>
      <c r="BJ47">
        <v>102.8153685</v>
      </c>
      <c r="BK47">
        <v>11</v>
      </c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="1" customFormat="1" ht="15" customHeight="1" spans="1:76">
      <c r="A48">
        <v>17</v>
      </c>
      <c r="B48">
        <v>48</v>
      </c>
      <c r="C48" t="s">
        <v>257</v>
      </c>
      <c r="D48" t="s">
        <v>258</v>
      </c>
      <c r="E48">
        <v>2003</v>
      </c>
      <c r="F48" t="s">
        <v>259</v>
      </c>
      <c r="G48" t="s">
        <v>228</v>
      </c>
      <c r="H48" t="s">
        <v>140</v>
      </c>
      <c r="I48" t="s">
        <v>81</v>
      </c>
      <c r="J48" t="s">
        <v>96</v>
      </c>
      <c r="K48" t="s">
        <v>260</v>
      </c>
      <c r="L48" t="s">
        <v>146</v>
      </c>
      <c r="M48" t="s">
        <v>147</v>
      </c>
      <c r="N48" t="s">
        <v>261</v>
      </c>
      <c r="O48" t="s">
        <v>112</v>
      </c>
      <c r="P48" t="s">
        <v>149</v>
      </c>
      <c r="Q48" t="s">
        <v>210</v>
      </c>
      <c r="R48" t="s">
        <v>113</v>
      </c>
      <c r="S48" t="s">
        <v>113</v>
      </c>
      <c r="T48"/>
      <c r="U48"/>
      <c r="V48"/>
      <c r="W48">
        <v>1.6</v>
      </c>
      <c r="X48"/>
      <c r="Y48">
        <v>0.068</v>
      </c>
      <c r="Z48"/>
      <c r="AA48"/>
      <c r="AB48" t="s">
        <v>105</v>
      </c>
      <c r="AC48" t="s">
        <v>170</v>
      </c>
      <c r="AD48"/>
      <c r="AE48"/>
      <c r="AF48">
        <v>41.4333</v>
      </c>
      <c r="AG48">
        <v>-89.8667</v>
      </c>
      <c r="AH48" t="s">
        <v>244</v>
      </c>
      <c r="AI48">
        <v>47</v>
      </c>
      <c r="AJ48">
        <v>20.4</v>
      </c>
      <c r="AK48" t="s">
        <v>86</v>
      </c>
      <c r="AL48">
        <v>64</v>
      </c>
      <c r="AM48">
        <v>16</v>
      </c>
      <c r="AN48" t="s">
        <v>131</v>
      </c>
      <c r="AO48" t="s">
        <v>262</v>
      </c>
      <c r="AP48" t="s">
        <v>263</v>
      </c>
      <c r="AQ48" t="s">
        <v>89</v>
      </c>
      <c r="AR48" t="s">
        <v>177</v>
      </c>
      <c r="AS48" t="s">
        <v>82</v>
      </c>
      <c r="AT48" t="s">
        <v>90</v>
      </c>
      <c r="AU48" t="s">
        <v>119</v>
      </c>
      <c r="AV48" t="s">
        <v>175</v>
      </c>
      <c r="AW48" t="s">
        <v>91</v>
      </c>
      <c r="AX48" t="s">
        <v>92</v>
      </c>
      <c r="AY48" t="s">
        <v>163</v>
      </c>
      <c r="AZ48">
        <v>75</v>
      </c>
      <c r="BA48">
        <v>82.91561976</v>
      </c>
      <c r="BB48">
        <v>9</v>
      </c>
      <c r="BC48">
        <v>57</v>
      </c>
      <c r="BD48">
        <v>41.56921938</v>
      </c>
      <c r="BE48">
        <v>12</v>
      </c>
      <c r="BF48">
        <v>328</v>
      </c>
      <c r="BG48">
        <v>259.5996918</v>
      </c>
      <c r="BH48">
        <v>13</v>
      </c>
      <c r="BI48">
        <v>144</v>
      </c>
      <c r="BJ48">
        <v>82.91561976</v>
      </c>
      <c r="BK48">
        <v>11</v>
      </c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="1" customFormat="1" ht="15" customHeight="1" spans="1:76">
      <c r="A49">
        <v>18</v>
      </c>
      <c r="B49">
        <v>49</v>
      </c>
      <c r="C49" t="s">
        <v>264</v>
      </c>
      <c r="D49" t="s">
        <v>265</v>
      </c>
      <c r="E49">
        <v>2023</v>
      </c>
      <c r="F49" t="s">
        <v>266</v>
      </c>
      <c r="G49" t="s">
        <v>267</v>
      </c>
      <c r="H49" t="s">
        <v>198</v>
      </c>
      <c r="I49" t="s">
        <v>110</v>
      </c>
      <c r="J49" t="s">
        <v>96</v>
      </c>
      <c r="K49" t="s">
        <v>9</v>
      </c>
      <c r="L49" t="s">
        <v>126</v>
      </c>
      <c r="M49" t="s">
        <v>168</v>
      </c>
      <c r="N49" t="s">
        <v>268</v>
      </c>
      <c r="O49" t="s">
        <v>112</v>
      </c>
      <c r="P49" t="s">
        <v>149</v>
      </c>
      <c r="Q49" t="s">
        <v>210</v>
      </c>
      <c r="R49" t="s">
        <v>103</v>
      </c>
      <c r="S49" t="s">
        <v>104</v>
      </c>
      <c r="T49"/>
      <c r="U49"/>
      <c r="V49"/>
      <c r="W49"/>
      <c r="X49"/>
      <c r="Y49"/>
      <c r="Z49">
        <v>24</v>
      </c>
      <c r="AA49">
        <v>3</v>
      </c>
      <c r="AB49" t="s">
        <v>105</v>
      </c>
      <c r="AC49" t="s">
        <v>105</v>
      </c>
      <c r="AD49">
        <v>7.85</v>
      </c>
      <c r="AE49"/>
      <c r="AF49">
        <v>30.467118</v>
      </c>
      <c r="AG49">
        <v>114.359548</v>
      </c>
      <c r="AH49" t="s">
        <v>269</v>
      </c>
      <c r="AI49">
        <v>61</v>
      </c>
      <c r="AJ49"/>
      <c r="AK49"/>
      <c r="AL49">
        <v>64</v>
      </c>
      <c r="AM49">
        <v>8</v>
      </c>
      <c r="AN49" t="s">
        <v>270</v>
      </c>
      <c r="AO49" t="s">
        <v>87</v>
      </c>
      <c r="AP49" t="s">
        <v>271</v>
      </c>
      <c r="AQ49" t="s">
        <v>89</v>
      </c>
      <c r="AR49" t="s">
        <v>89</v>
      </c>
      <c r="AS49" t="s">
        <v>82</v>
      </c>
      <c r="AT49" t="s">
        <v>90</v>
      </c>
      <c r="AU49" t="s">
        <v>221</v>
      </c>
      <c r="AV49" t="s">
        <v>222</v>
      </c>
      <c r="AW49" t="s">
        <v>193</v>
      </c>
      <c r="AX49" t="s">
        <v>193</v>
      </c>
      <c r="AY49" t="s">
        <v>272</v>
      </c>
      <c r="AZ49">
        <v>0.496491228</v>
      </c>
      <c r="BA49">
        <v>0.084356598</v>
      </c>
      <c r="BB49">
        <v>8</v>
      </c>
      <c r="BC49">
        <v>0.163157895</v>
      </c>
      <c r="BD49">
        <v>0.029772917</v>
      </c>
      <c r="BE49">
        <v>8</v>
      </c>
      <c r="BF49">
        <v>0.293859649</v>
      </c>
      <c r="BG49">
        <v>0.124053821</v>
      </c>
      <c r="BH49">
        <v>8</v>
      </c>
      <c r="BI49">
        <v>0.110526316</v>
      </c>
      <c r="BJ49">
        <v>0.027291841</v>
      </c>
      <c r="BK49">
        <v>8</v>
      </c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="1" customFormat="1" ht="15" customHeight="1" spans="1:76">
      <c r="A50">
        <v>18</v>
      </c>
      <c r="B50">
        <v>50</v>
      </c>
      <c r="C50" t="s">
        <v>264</v>
      </c>
      <c r="D50" t="s">
        <v>265</v>
      </c>
      <c r="E50">
        <v>2023</v>
      </c>
      <c r="F50" t="s">
        <v>266</v>
      </c>
      <c r="G50" t="s">
        <v>267</v>
      </c>
      <c r="H50" t="s">
        <v>198</v>
      </c>
      <c r="I50" t="s">
        <v>110</v>
      </c>
      <c r="J50" t="s">
        <v>96</v>
      </c>
      <c r="K50" t="s">
        <v>9</v>
      </c>
      <c r="L50" t="s">
        <v>126</v>
      </c>
      <c r="M50" t="s">
        <v>168</v>
      </c>
      <c r="N50" t="s">
        <v>268</v>
      </c>
      <c r="O50" t="s">
        <v>112</v>
      </c>
      <c r="P50" t="s">
        <v>149</v>
      </c>
      <c r="Q50" t="s">
        <v>210</v>
      </c>
      <c r="R50" t="s">
        <v>103</v>
      </c>
      <c r="S50" t="s">
        <v>104</v>
      </c>
      <c r="T50"/>
      <c r="U50"/>
      <c r="V50"/>
      <c r="W50"/>
      <c r="X50"/>
      <c r="Y50"/>
      <c r="Z50">
        <v>24</v>
      </c>
      <c r="AA50">
        <v>3</v>
      </c>
      <c r="AB50" t="s">
        <v>105</v>
      </c>
      <c r="AC50" t="s">
        <v>105</v>
      </c>
      <c r="AD50">
        <v>7.85</v>
      </c>
      <c r="AE50"/>
      <c r="AF50">
        <v>30.467118</v>
      </c>
      <c r="AG50">
        <v>114.359548</v>
      </c>
      <c r="AH50" t="s">
        <v>269</v>
      </c>
      <c r="AI50">
        <v>61</v>
      </c>
      <c r="AJ50"/>
      <c r="AK50"/>
      <c r="AL50">
        <v>64</v>
      </c>
      <c r="AM50">
        <v>8</v>
      </c>
      <c r="AN50" t="s">
        <v>270</v>
      </c>
      <c r="AO50" t="s">
        <v>87</v>
      </c>
      <c r="AP50" t="s">
        <v>271</v>
      </c>
      <c r="AQ50" t="s">
        <v>89</v>
      </c>
      <c r="AR50" t="s">
        <v>177</v>
      </c>
      <c r="AS50" t="s">
        <v>82</v>
      </c>
      <c r="AT50" t="s">
        <v>90</v>
      </c>
      <c r="AU50" t="s">
        <v>221</v>
      </c>
      <c r="AV50" t="s">
        <v>222</v>
      </c>
      <c r="AW50" t="s">
        <v>193</v>
      </c>
      <c r="AX50" t="s">
        <v>193</v>
      </c>
      <c r="AY50" t="s">
        <v>272</v>
      </c>
      <c r="AZ50">
        <v>0.438520408</v>
      </c>
      <c r="BA50">
        <v>0.090913729</v>
      </c>
      <c r="BB50">
        <v>8</v>
      </c>
      <c r="BC50">
        <v>0.132397959</v>
      </c>
      <c r="BD50">
        <v>0.025975351</v>
      </c>
      <c r="BE50">
        <v>8</v>
      </c>
      <c r="BF50">
        <v>0.264795918</v>
      </c>
      <c r="BG50">
        <v>0.123382918</v>
      </c>
      <c r="BH50">
        <v>8</v>
      </c>
      <c r="BI50">
        <v>0.086479592</v>
      </c>
      <c r="BJ50">
        <v>0.028139964</v>
      </c>
      <c r="BK50">
        <v>8</v>
      </c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="1" customFormat="1" ht="15" customHeight="1" spans="1:76">
      <c r="A51">
        <v>18</v>
      </c>
      <c r="B51">
        <v>51</v>
      </c>
      <c r="C51" t="s">
        <v>264</v>
      </c>
      <c r="D51" t="s">
        <v>265</v>
      </c>
      <c r="E51">
        <v>2023</v>
      </c>
      <c r="F51" t="s">
        <v>266</v>
      </c>
      <c r="G51" t="s">
        <v>267</v>
      </c>
      <c r="H51" t="s">
        <v>198</v>
      </c>
      <c r="I51" t="s">
        <v>110</v>
      </c>
      <c r="J51" t="s">
        <v>96</v>
      </c>
      <c r="K51" t="s">
        <v>9</v>
      </c>
      <c r="L51" t="s">
        <v>126</v>
      </c>
      <c r="M51" t="s">
        <v>168</v>
      </c>
      <c r="N51" t="s">
        <v>268</v>
      </c>
      <c r="O51" t="s">
        <v>112</v>
      </c>
      <c r="P51" t="s">
        <v>149</v>
      </c>
      <c r="Q51" t="s">
        <v>210</v>
      </c>
      <c r="R51" t="s">
        <v>103</v>
      </c>
      <c r="S51" t="s">
        <v>104</v>
      </c>
      <c r="T51"/>
      <c r="U51"/>
      <c r="V51"/>
      <c r="W51"/>
      <c r="X51"/>
      <c r="Y51"/>
      <c r="Z51">
        <v>24</v>
      </c>
      <c r="AA51">
        <v>3</v>
      </c>
      <c r="AB51" t="s">
        <v>105</v>
      </c>
      <c r="AC51" t="s">
        <v>105</v>
      </c>
      <c r="AD51">
        <v>7.85</v>
      </c>
      <c r="AE51"/>
      <c r="AF51">
        <v>30.467118</v>
      </c>
      <c r="AG51">
        <v>114.359548</v>
      </c>
      <c r="AH51" t="s">
        <v>269</v>
      </c>
      <c r="AI51">
        <v>61</v>
      </c>
      <c r="AJ51"/>
      <c r="AK51"/>
      <c r="AL51">
        <v>64</v>
      </c>
      <c r="AM51">
        <v>8</v>
      </c>
      <c r="AN51" t="s">
        <v>270</v>
      </c>
      <c r="AO51" t="s">
        <v>87</v>
      </c>
      <c r="AP51" t="s">
        <v>271</v>
      </c>
      <c r="AQ51" t="s">
        <v>185</v>
      </c>
      <c r="AR51" t="s">
        <v>186</v>
      </c>
      <c r="AS51" t="s">
        <v>82</v>
      </c>
      <c r="AT51" t="s">
        <v>273</v>
      </c>
      <c r="AU51" t="s">
        <v>221</v>
      </c>
      <c r="AV51" t="s">
        <v>222</v>
      </c>
      <c r="AW51" t="s">
        <v>193</v>
      </c>
      <c r="AX51" t="s">
        <v>193</v>
      </c>
      <c r="AY51" t="s">
        <v>272</v>
      </c>
      <c r="AZ51">
        <v>0.01272271</v>
      </c>
      <c r="BA51">
        <v>0.002981027</v>
      </c>
      <c r="BB51">
        <v>8</v>
      </c>
      <c r="BC51">
        <v>-0.005094103</v>
      </c>
      <c r="BD51">
        <v>0.002981027</v>
      </c>
      <c r="BE51">
        <v>8</v>
      </c>
      <c r="BF51">
        <v>0.01357591</v>
      </c>
      <c r="BG51">
        <v>0.005678147</v>
      </c>
      <c r="BH51">
        <v>8</v>
      </c>
      <c r="BI51">
        <v>0.000677541</v>
      </c>
      <c r="BJ51">
        <v>0.006104008</v>
      </c>
      <c r="BK51">
        <v>8</v>
      </c>
      <c r="BL51"/>
      <c r="BM51"/>
      <c r="BN51"/>
      <c r="BO51"/>
      <c r="BP51"/>
      <c r="BQ51"/>
      <c r="BR51"/>
      <c r="BS51"/>
      <c r="BT51"/>
      <c r="BU51"/>
      <c r="BV51"/>
      <c r="BW51"/>
      <c r="BX51"/>
    </row>
    <row r="52" s="1" customFormat="1" ht="15" customHeight="1" spans="1:76">
      <c r="A52">
        <v>18</v>
      </c>
      <c r="B52">
        <v>52</v>
      </c>
      <c r="C52" t="s">
        <v>264</v>
      </c>
      <c r="D52" t="s">
        <v>265</v>
      </c>
      <c r="E52">
        <v>2023</v>
      </c>
      <c r="F52" t="s">
        <v>266</v>
      </c>
      <c r="G52" t="s">
        <v>267</v>
      </c>
      <c r="H52" t="s">
        <v>198</v>
      </c>
      <c r="I52" t="s">
        <v>110</v>
      </c>
      <c r="J52" t="s">
        <v>96</v>
      </c>
      <c r="K52" t="s">
        <v>9</v>
      </c>
      <c r="L52" t="s">
        <v>126</v>
      </c>
      <c r="M52" t="s">
        <v>168</v>
      </c>
      <c r="N52" t="s">
        <v>268</v>
      </c>
      <c r="O52" t="s">
        <v>112</v>
      </c>
      <c r="P52" t="s">
        <v>149</v>
      </c>
      <c r="Q52" t="s">
        <v>210</v>
      </c>
      <c r="R52" t="s">
        <v>103</v>
      </c>
      <c r="S52" t="s">
        <v>104</v>
      </c>
      <c r="T52"/>
      <c r="U52"/>
      <c r="V52"/>
      <c r="W52"/>
      <c r="X52"/>
      <c r="Y52"/>
      <c r="Z52"/>
      <c r="AA52"/>
      <c r="AB52"/>
      <c r="AC52"/>
      <c r="AD52"/>
      <c r="AE52"/>
      <c r="AF52">
        <v>30.467118</v>
      </c>
      <c r="AG52">
        <v>114.359548</v>
      </c>
      <c r="AH52" t="s">
        <v>269</v>
      </c>
      <c r="AI52">
        <v>61</v>
      </c>
      <c r="AJ52"/>
      <c r="AK52"/>
      <c r="AL52">
        <v>64</v>
      </c>
      <c r="AM52">
        <v>8</v>
      </c>
      <c r="AN52" t="s">
        <v>270</v>
      </c>
      <c r="AO52" t="s">
        <v>87</v>
      </c>
      <c r="AP52" t="s">
        <v>271</v>
      </c>
      <c r="AQ52" t="s">
        <v>89</v>
      </c>
      <c r="AR52" t="s">
        <v>89</v>
      </c>
      <c r="AS52" t="s">
        <v>82</v>
      </c>
      <c r="AT52" t="s">
        <v>90</v>
      </c>
      <c r="AU52" t="s">
        <v>221</v>
      </c>
      <c r="AV52" t="s">
        <v>274</v>
      </c>
      <c r="AW52" t="s">
        <v>93</v>
      </c>
      <c r="AX52" t="s">
        <v>94</v>
      </c>
      <c r="AY52" t="s">
        <v>95</v>
      </c>
      <c r="AZ52">
        <v>0.496491228</v>
      </c>
      <c r="BA52">
        <v>0.084356598</v>
      </c>
      <c r="BB52">
        <v>8</v>
      </c>
      <c r="BC52">
        <v>0.163157895</v>
      </c>
      <c r="BD52">
        <v>0.029772917</v>
      </c>
      <c r="BE52">
        <v>8</v>
      </c>
      <c r="BF52">
        <v>0.564035088</v>
      </c>
      <c r="BG52">
        <v>0.218334725</v>
      </c>
      <c r="BH52">
        <v>8</v>
      </c>
      <c r="BI52">
        <v>0.268421053</v>
      </c>
      <c r="BJ52">
        <v>0.111648439</v>
      </c>
      <c r="BK52">
        <v>8</v>
      </c>
      <c r="BL52"/>
      <c r="BM52"/>
      <c r="BN52"/>
      <c r="BO52"/>
      <c r="BP52"/>
      <c r="BQ52"/>
      <c r="BR52"/>
      <c r="BS52"/>
      <c r="BT52"/>
      <c r="BU52"/>
      <c r="BV52"/>
      <c r="BW52"/>
      <c r="BX52"/>
    </row>
    <row r="53" s="1" customFormat="1" ht="15" customHeight="1" spans="1:76">
      <c r="A53">
        <v>18</v>
      </c>
      <c r="B53">
        <v>53</v>
      </c>
      <c r="C53" t="s">
        <v>264</v>
      </c>
      <c r="D53" t="s">
        <v>265</v>
      </c>
      <c r="E53">
        <v>2023</v>
      </c>
      <c r="F53" t="s">
        <v>266</v>
      </c>
      <c r="G53" t="s">
        <v>267</v>
      </c>
      <c r="H53" t="s">
        <v>198</v>
      </c>
      <c r="I53" t="s">
        <v>110</v>
      </c>
      <c r="J53" t="s">
        <v>96</v>
      </c>
      <c r="K53" t="s">
        <v>9</v>
      </c>
      <c r="L53" t="s">
        <v>126</v>
      </c>
      <c r="M53" t="s">
        <v>168</v>
      </c>
      <c r="N53" t="s">
        <v>268</v>
      </c>
      <c r="O53" t="s">
        <v>112</v>
      </c>
      <c r="P53" t="s">
        <v>149</v>
      </c>
      <c r="Q53" t="s">
        <v>210</v>
      </c>
      <c r="R53" t="s">
        <v>103</v>
      </c>
      <c r="S53" t="s">
        <v>104</v>
      </c>
      <c r="T53"/>
      <c r="U53"/>
      <c r="V53"/>
      <c r="W53"/>
      <c r="X53"/>
      <c r="Y53"/>
      <c r="Z53"/>
      <c r="AA53"/>
      <c r="AB53"/>
      <c r="AC53"/>
      <c r="AD53"/>
      <c r="AE53"/>
      <c r="AF53">
        <v>30.467118</v>
      </c>
      <c r="AG53">
        <v>114.359548</v>
      </c>
      <c r="AH53" t="s">
        <v>269</v>
      </c>
      <c r="AI53">
        <v>61</v>
      </c>
      <c r="AJ53"/>
      <c r="AK53"/>
      <c r="AL53">
        <v>64</v>
      </c>
      <c r="AM53">
        <v>8</v>
      </c>
      <c r="AN53" t="s">
        <v>270</v>
      </c>
      <c r="AO53" t="s">
        <v>87</v>
      </c>
      <c r="AP53" t="s">
        <v>271</v>
      </c>
      <c r="AQ53" t="s">
        <v>89</v>
      </c>
      <c r="AR53" t="s">
        <v>177</v>
      </c>
      <c r="AS53" t="s">
        <v>82</v>
      </c>
      <c r="AT53" t="s">
        <v>90</v>
      </c>
      <c r="AU53" t="s">
        <v>221</v>
      </c>
      <c r="AV53" t="s">
        <v>274</v>
      </c>
      <c r="AW53" t="s">
        <v>93</v>
      </c>
      <c r="AX53" t="s">
        <v>94</v>
      </c>
      <c r="AY53" t="s">
        <v>95</v>
      </c>
      <c r="AZ53">
        <v>0.44005102</v>
      </c>
      <c r="BA53">
        <v>0.086584504</v>
      </c>
      <c r="BB53">
        <v>8</v>
      </c>
      <c r="BC53">
        <v>0.131632653</v>
      </c>
      <c r="BD53">
        <v>0.030304576</v>
      </c>
      <c r="BE53">
        <v>8</v>
      </c>
      <c r="BF53">
        <v>0.513520408</v>
      </c>
      <c r="BG53">
        <v>0.201308971</v>
      </c>
      <c r="BH53">
        <v>8</v>
      </c>
      <c r="BI53">
        <v>0.23494898</v>
      </c>
      <c r="BJ53">
        <v>0.110395242</v>
      </c>
      <c r="BK53">
        <v>8</v>
      </c>
      <c r="BL53"/>
      <c r="BM53"/>
      <c r="BN53"/>
      <c r="BO53"/>
      <c r="BP53"/>
      <c r="BQ53"/>
      <c r="BR53"/>
      <c r="BS53"/>
      <c r="BT53"/>
      <c r="BU53"/>
      <c r="BV53"/>
      <c r="BW53"/>
      <c r="BX53"/>
    </row>
    <row r="54" s="1" customFormat="1" ht="15" customHeight="1" spans="1:76">
      <c r="A54">
        <v>18</v>
      </c>
      <c r="B54">
        <v>54</v>
      </c>
      <c r="C54" t="s">
        <v>264</v>
      </c>
      <c r="D54" t="s">
        <v>265</v>
      </c>
      <c r="E54">
        <v>2023</v>
      </c>
      <c r="F54" t="s">
        <v>266</v>
      </c>
      <c r="G54" t="s">
        <v>267</v>
      </c>
      <c r="H54" t="s">
        <v>198</v>
      </c>
      <c r="I54" t="s">
        <v>110</v>
      </c>
      <c r="J54" t="s">
        <v>96</v>
      </c>
      <c r="K54" t="s">
        <v>9</v>
      </c>
      <c r="L54" t="s">
        <v>126</v>
      </c>
      <c r="M54" t="s">
        <v>168</v>
      </c>
      <c r="N54" t="s">
        <v>268</v>
      </c>
      <c r="O54" t="s">
        <v>112</v>
      </c>
      <c r="P54" t="s">
        <v>149</v>
      </c>
      <c r="Q54" t="s">
        <v>210</v>
      </c>
      <c r="R54" t="s">
        <v>103</v>
      </c>
      <c r="S54" t="s">
        <v>104</v>
      </c>
      <c r="T54"/>
      <c r="U54"/>
      <c r="V54"/>
      <c r="W54"/>
      <c r="X54"/>
      <c r="Y54"/>
      <c r="Z54"/>
      <c r="AA54"/>
      <c r="AB54"/>
      <c r="AC54"/>
      <c r="AD54"/>
      <c r="AE54"/>
      <c r="AF54">
        <v>30.467118</v>
      </c>
      <c r="AG54">
        <v>114.359548</v>
      </c>
      <c r="AH54" t="s">
        <v>269</v>
      </c>
      <c r="AI54">
        <v>61</v>
      </c>
      <c r="AJ54"/>
      <c r="AK54"/>
      <c r="AL54">
        <v>64</v>
      </c>
      <c r="AM54">
        <v>8</v>
      </c>
      <c r="AN54" t="s">
        <v>270</v>
      </c>
      <c r="AO54" t="s">
        <v>87</v>
      </c>
      <c r="AP54" t="s">
        <v>271</v>
      </c>
      <c r="AQ54" t="s">
        <v>185</v>
      </c>
      <c r="AR54" t="s">
        <v>186</v>
      </c>
      <c r="AS54" t="s">
        <v>82</v>
      </c>
      <c r="AT54" t="s">
        <v>273</v>
      </c>
      <c r="AU54" t="s">
        <v>221</v>
      </c>
      <c r="AV54" t="s">
        <v>274</v>
      </c>
      <c r="AW54" t="s">
        <v>93</v>
      </c>
      <c r="AX54" t="s">
        <v>94</v>
      </c>
      <c r="AY54" t="s">
        <v>95</v>
      </c>
      <c r="AZ54">
        <v>0.012772898</v>
      </c>
      <c r="BA54">
        <v>0.00269712</v>
      </c>
      <c r="BB54">
        <v>8</v>
      </c>
      <c r="BC54">
        <v>-0.005194479</v>
      </c>
      <c r="BD54">
        <v>0.002839074</v>
      </c>
      <c r="BE54">
        <v>8</v>
      </c>
      <c r="BF54">
        <v>0.002183187</v>
      </c>
      <c r="BG54">
        <v>0.005678147</v>
      </c>
      <c r="BH54">
        <v>8</v>
      </c>
      <c r="BI54">
        <v>-0.013375157</v>
      </c>
      <c r="BJ54">
        <v>0.003264935</v>
      </c>
      <c r="BK54">
        <v>8</v>
      </c>
      <c r="BL54"/>
      <c r="BM54"/>
      <c r="BN54"/>
      <c r="BO54"/>
      <c r="BP54"/>
      <c r="BQ54"/>
      <c r="BR54"/>
      <c r="BS54"/>
      <c r="BT54"/>
      <c r="BU54"/>
      <c r="BV54"/>
      <c r="BW54"/>
      <c r="BX54"/>
    </row>
    <row r="55" s="1" customFormat="1" ht="15" customHeight="1" spans="1:76">
      <c r="A55">
        <v>18</v>
      </c>
      <c r="B55">
        <v>55</v>
      </c>
      <c r="C55" t="s">
        <v>264</v>
      </c>
      <c r="D55" t="s">
        <v>265</v>
      </c>
      <c r="E55">
        <v>2023</v>
      </c>
      <c r="F55" t="s">
        <v>266</v>
      </c>
      <c r="G55" t="s">
        <v>267</v>
      </c>
      <c r="H55" t="s">
        <v>198</v>
      </c>
      <c r="I55" t="s">
        <v>110</v>
      </c>
      <c r="J55" t="s">
        <v>96</v>
      </c>
      <c r="K55" t="s">
        <v>9</v>
      </c>
      <c r="L55" t="s">
        <v>126</v>
      </c>
      <c r="M55" t="s">
        <v>168</v>
      </c>
      <c r="N55" t="s">
        <v>268</v>
      </c>
      <c r="O55" t="s">
        <v>112</v>
      </c>
      <c r="P55" t="s">
        <v>149</v>
      </c>
      <c r="Q55" t="s">
        <v>210</v>
      </c>
      <c r="R55" t="s">
        <v>103</v>
      </c>
      <c r="S55" t="s">
        <v>104</v>
      </c>
      <c r="T55"/>
      <c r="U55"/>
      <c r="V55"/>
      <c r="W55"/>
      <c r="X55"/>
      <c r="Y55"/>
      <c r="Z55"/>
      <c r="AA55"/>
      <c r="AB55"/>
      <c r="AC55"/>
      <c r="AD55"/>
      <c r="AE55"/>
      <c r="AF55">
        <v>30.467118</v>
      </c>
      <c r="AG55">
        <v>114.359548</v>
      </c>
      <c r="AH55" t="s">
        <v>269</v>
      </c>
      <c r="AI55">
        <v>61</v>
      </c>
      <c r="AJ55"/>
      <c r="AK55"/>
      <c r="AL55">
        <v>64</v>
      </c>
      <c r="AM55">
        <v>8</v>
      </c>
      <c r="AN55" t="s">
        <v>270</v>
      </c>
      <c r="AO55" t="s">
        <v>87</v>
      </c>
      <c r="AP55" t="s">
        <v>271</v>
      </c>
      <c r="AQ55" t="s">
        <v>89</v>
      </c>
      <c r="AR55" t="s">
        <v>89</v>
      </c>
      <c r="AS55" t="s">
        <v>82</v>
      </c>
      <c r="AT55" t="s">
        <v>90</v>
      </c>
      <c r="AU55" t="s">
        <v>193</v>
      </c>
      <c r="AV55" t="s">
        <v>275</v>
      </c>
      <c r="AW55" t="s">
        <v>93</v>
      </c>
      <c r="AX55" t="s">
        <v>94</v>
      </c>
      <c r="AY55" t="s">
        <v>95</v>
      </c>
      <c r="AZ55">
        <v>0.496491228</v>
      </c>
      <c r="BA55">
        <v>0.084356598</v>
      </c>
      <c r="BB55">
        <v>8</v>
      </c>
      <c r="BC55">
        <v>0.564912281</v>
      </c>
      <c r="BD55">
        <v>0.213372573</v>
      </c>
      <c r="BE55">
        <v>8</v>
      </c>
      <c r="BF55">
        <v>0.293859649</v>
      </c>
      <c r="BG55">
        <v>0.124053821</v>
      </c>
      <c r="BH55">
        <v>8</v>
      </c>
      <c r="BI55">
        <v>0.090350877</v>
      </c>
      <c r="BJ55">
        <v>0.032253994</v>
      </c>
      <c r="BK55">
        <v>8</v>
      </c>
      <c r="BL55"/>
      <c r="BM55"/>
      <c r="BN55"/>
      <c r="BO55"/>
      <c r="BP55"/>
      <c r="BQ55"/>
      <c r="BR55"/>
      <c r="BS55"/>
      <c r="BT55"/>
      <c r="BU55"/>
      <c r="BV55"/>
      <c r="BW55"/>
      <c r="BX55"/>
    </row>
    <row r="56" s="1" customFormat="1" ht="15" customHeight="1" spans="1:76">
      <c r="A56">
        <v>18</v>
      </c>
      <c r="B56">
        <v>56</v>
      </c>
      <c r="C56" t="s">
        <v>264</v>
      </c>
      <c r="D56" t="s">
        <v>265</v>
      </c>
      <c r="E56">
        <v>2023</v>
      </c>
      <c r="F56" t="s">
        <v>266</v>
      </c>
      <c r="G56" t="s">
        <v>267</v>
      </c>
      <c r="H56" t="s">
        <v>198</v>
      </c>
      <c r="I56" t="s">
        <v>110</v>
      </c>
      <c r="J56" t="s">
        <v>96</v>
      </c>
      <c r="K56" t="s">
        <v>9</v>
      </c>
      <c r="L56" t="s">
        <v>126</v>
      </c>
      <c r="M56" t="s">
        <v>168</v>
      </c>
      <c r="N56" t="s">
        <v>268</v>
      </c>
      <c r="O56" t="s">
        <v>112</v>
      </c>
      <c r="P56" t="s">
        <v>149</v>
      </c>
      <c r="Q56" t="s">
        <v>210</v>
      </c>
      <c r="R56" t="s">
        <v>103</v>
      </c>
      <c r="S56" t="s">
        <v>104</v>
      </c>
      <c r="T56"/>
      <c r="U56"/>
      <c r="V56"/>
      <c r="W56"/>
      <c r="X56"/>
      <c r="Y56"/>
      <c r="Z56"/>
      <c r="AA56"/>
      <c r="AB56"/>
      <c r="AC56"/>
      <c r="AD56"/>
      <c r="AE56"/>
      <c r="AF56">
        <v>30.467118</v>
      </c>
      <c r="AG56">
        <v>114.359548</v>
      </c>
      <c r="AH56" t="s">
        <v>269</v>
      </c>
      <c r="AI56">
        <v>61</v>
      </c>
      <c r="AJ56"/>
      <c r="AK56"/>
      <c r="AL56">
        <v>64</v>
      </c>
      <c r="AM56">
        <v>8</v>
      </c>
      <c r="AN56" t="s">
        <v>270</v>
      </c>
      <c r="AO56" t="s">
        <v>87</v>
      </c>
      <c r="AP56" t="s">
        <v>271</v>
      </c>
      <c r="AQ56" t="s">
        <v>89</v>
      </c>
      <c r="AR56" t="s">
        <v>177</v>
      </c>
      <c r="AS56" t="s">
        <v>82</v>
      </c>
      <c r="AT56" t="s">
        <v>90</v>
      </c>
      <c r="AU56" t="s">
        <v>193</v>
      </c>
      <c r="AV56" t="s">
        <v>275</v>
      </c>
      <c r="AW56" t="s">
        <v>93</v>
      </c>
      <c r="AX56" t="s">
        <v>94</v>
      </c>
      <c r="AY56" t="s">
        <v>95</v>
      </c>
      <c r="AZ56">
        <v>0.439285714</v>
      </c>
      <c r="BA56">
        <v>0.088749116</v>
      </c>
      <c r="BB56">
        <v>8</v>
      </c>
      <c r="BC56">
        <v>0.513520408</v>
      </c>
      <c r="BD56">
        <v>0.201308971</v>
      </c>
      <c r="BE56">
        <v>8</v>
      </c>
      <c r="BF56">
        <v>0.264795918</v>
      </c>
      <c r="BG56">
        <v>0.123382918</v>
      </c>
      <c r="BH56">
        <v>8</v>
      </c>
      <c r="BI56">
        <v>0.071173469</v>
      </c>
      <c r="BJ56">
        <v>0.030304576</v>
      </c>
      <c r="BK56">
        <v>8</v>
      </c>
      <c r="BL56"/>
      <c r="BM56"/>
      <c r="BN56"/>
      <c r="BO56"/>
      <c r="BP56"/>
      <c r="BQ56"/>
      <c r="BR56"/>
      <c r="BS56"/>
      <c r="BT56"/>
      <c r="BU56"/>
      <c r="BV56"/>
      <c r="BW56"/>
      <c r="BX56"/>
    </row>
    <row r="57" s="1" customFormat="1" ht="15" customHeight="1" spans="1:76">
      <c r="A57">
        <v>18</v>
      </c>
      <c r="B57">
        <v>57</v>
      </c>
      <c r="C57" t="s">
        <v>264</v>
      </c>
      <c r="D57" t="s">
        <v>265</v>
      </c>
      <c r="E57">
        <v>2023</v>
      </c>
      <c r="F57" t="s">
        <v>266</v>
      </c>
      <c r="G57" t="s">
        <v>267</v>
      </c>
      <c r="H57" t="s">
        <v>198</v>
      </c>
      <c r="I57" t="s">
        <v>110</v>
      </c>
      <c r="J57" t="s">
        <v>96</v>
      </c>
      <c r="K57" t="s">
        <v>9</v>
      </c>
      <c r="L57" t="s">
        <v>126</v>
      </c>
      <c r="M57" t="s">
        <v>168</v>
      </c>
      <c r="N57" t="s">
        <v>268</v>
      </c>
      <c r="O57" t="s">
        <v>112</v>
      </c>
      <c r="P57" t="s">
        <v>149</v>
      </c>
      <c r="Q57" t="s">
        <v>210</v>
      </c>
      <c r="R57" t="s">
        <v>103</v>
      </c>
      <c r="S57" t="s">
        <v>104</v>
      </c>
      <c r="T57"/>
      <c r="U57"/>
      <c r="V57"/>
      <c r="W57"/>
      <c r="X57"/>
      <c r="Y57"/>
      <c r="Z57"/>
      <c r="AA57"/>
      <c r="AB57"/>
      <c r="AC57"/>
      <c r="AD57"/>
      <c r="AE57"/>
      <c r="AF57">
        <v>30.467118</v>
      </c>
      <c r="AG57">
        <v>114.359548</v>
      </c>
      <c r="AH57" t="s">
        <v>269</v>
      </c>
      <c r="AI57">
        <v>61</v>
      </c>
      <c r="AJ57"/>
      <c r="AK57"/>
      <c r="AL57">
        <v>64</v>
      </c>
      <c r="AM57">
        <v>8</v>
      </c>
      <c r="AN57" t="s">
        <v>270</v>
      </c>
      <c r="AO57" t="s">
        <v>87</v>
      </c>
      <c r="AP57" t="s">
        <v>271</v>
      </c>
      <c r="AQ57" t="s">
        <v>185</v>
      </c>
      <c r="AR57" t="s">
        <v>186</v>
      </c>
      <c r="AS57" t="s">
        <v>82</v>
      </c>
      <c r="AT57" t="s">
        <v>273</v>
      </c>
      <c r="AU57" t="s">
        <v>193</v>
      </c>
      <c r="AV57" t="s">
        <v>275</v>
      </c>
      <c r="AW57" t="s">
        <v>93</v>
      </c>
      <c r="AX57" t="s">
        <v>94</v>
      </c>
      <c r="AY57" t="s">
        <v>95</v>
      </c>
      <c r="AZ57">
        <v>0.012772898</v>
      </c>
      <c r="BA57">
        <v>0.00269712</v>
      </c>
      <c r="BB57">
        <v>8</v>
      </c>
      <c r="BC57">
        <v>0.01357591</v>
      </c>
      <c r="BD57">
        <v>0.005536194</v>
      </c>
      <c r="BE57">
        <v>8</v>
      </c>
      <c r="BF57">
        <v>0.002233375</v>
      </c>
      <c r="BG57">
        <v>0.00539424</v>
      </c>
      <c r="BH57">
        <v>8</v>
      </c>
      <c r="BI57">
        <v>-0.014429109</v>
      </c>
      <c r="BJ57">
        <v>0.008233314</v>
      </c>
      <c r="BK57">
        <v>8</v>
      </c>
      <c r="BL57"/>
      <c r="BM57"/>
      <c r="BN57"/>
      <c r="BO57"/>
      <c r="BP57"/>
      <c r="BQ57"/>
      <c r="BR57"/>
      <c r="BS57"/>
      <c r="BT57"/>
      <c r="BU57"/>
      <c r="BV57"/>
      <c r="BW57"/>
      <c r="BX57"/>
    </row>
    <row r="58" s="1" customFormat="1" ht="15" customHeight="1" spans="1:76">
      <c r="A58">
        <v>19</v>
      </c>
      <c r="B58">
        <v>58</v>
      </c>
      <c r="C58" t="s">
        <v>276</v>
      </c>
      <c r="D58" t="s">
        <v>277</v>
      </c>
      <c r="E58">
        <v>2012</v>
      </c>
      <c r="F58" t="s">
        <v>278</v>
      </c>
      <c r="G58" t="s">
        <v>279</v>
      </c>
      <c r="H58" t="s">
        <v>198</v>
      </c>
      <c r="I58" t="s">
        <v>110</v>
      </c>
      <c r="J58" t="s">
        <v>96</v>
      </c>
      <c r="K58" t="s">
        <v>9</v>
      </c>
      <c r="L58" t="s">
        <v>97</v>
      </c>
      <c r="M58" t="s">
        <v>98</v>
      </c>
      <c r="N58" t="s">
        <v>280</v>
      </c>
      <c r="O58" t="s">
        <v>112</v>
      </c>
      <c r="P58" t="s">
        <v>113</v>
      </c>
      <c r="Q58" t="s">
        <v>113</v>
      </c>
      <c r="R58" t="s">
        <v>113</v>
      </c>
      <c r="S58" t="s">
        <v>113</v>
      </c>
      <c r="T58"/>
      <c r="U58"/>
      <c r="V58"/>
      <c r="W58"/>
      <c r="X58"/>
      <c r="Y58"/>
      <c r="Z58">
        <v>24</v>
      </c>
      <c r="AA58">
        <v>3</v>
      </c>
      <c r="AB58" t="s">
        <v>105</v>
      </c>
      <c r="AC58" t="s">
        <v>105</v>
      </c>
      <c r="AD58"/>
      <c r="AE58"/>
      <c r="AF58">
        <v>30.516318</v>
      </c>
      <c r="AG58">
        <v>114.359243</v>
      </c>
      <c r="AH58" t="s">
        <v>218</v>
      </c>
      <c r="AI58">
        <v>60</v>
      </c>
      <c r="AJ58">
        <v>6000</v>
      </c>
      <c r="AK58" t="s">
        <v>86</v>
      </c>
      <c r="AL58">
        <v>72</v>
      </c>
      <c r="AM58">
        <v>3</v>
      </c>
      <c r="AN58" t="s">
        <v>117</v>
      </c>
      <c r="AO58" t="s">
        <v>131</v>
      </c>
      <c r="AP58" t="s">
        <v>281</v>
      </c>
      <c r="AQ58" t="s">
        <v>89</v>
      </c>
      <c r="AR58" t="s">
        <v>89</v>
      </c>
      <c r="AS58" t="s">
        <v>82</v>
      </c>
      <c r="AT58" t="s">
        <v>90</v>
      </c>
      <c r="AU58" t="s">
        <v>119</v>
      </c>
      <c r="AV58" t="s">
        <v>184</v>
      </c>
      <c r="AW58" t="s">
        <v>119</v>
      </c>
      <c r="AX58" t="s">
        <v>184</v>
      </c>
      <c r="AY58" t="s">
        <v>282</v>
      </c>
      <c r="AZ58">
        <v>0.197037037037037</v>
      </c>
      <c r="BA58">
        <f>0.206255144032921-AZ58</f>
        <v>0.00921810699588399</v>
      </c>
      <c r="BB58">
        <v>30</v>
      </c>
      <c r="BC58">
        <v>0.132510288065843</v>
      </c>
      <c r="BD58">
        <f>0.138271604938271-BC58</f>
        <v>0.00576131687242801</v>
      </c>
      <c r="BE58">
        <v>30</v>
      </c>
      <c r="BF58">
        <v>0.209711934156378</v>
      </c>
      <c r="BG58">
        <f>0.215473251028806-BF58</f>
        <v>0.00576131687242798</v>
      </c>
      <c r="BH58">
        <v>30</v>
      </c>
      <c r="BI58">
        <v>0.0921810699588476</v>
      </c>
      <c r="BJ58">
        <f>0.0956378600823043-BI58</f>
        <v>0.00345679012345669</v>
      </c>
      <c r="BK58">
        <v>30</v>
      </c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="1" customFormat="1" ht="15" customHeight="1" spans="1:76">
      <c r="A59">
        <v>20</v>
      </c>
      <c r="B59">
        <v>59</v>
      </c>
      <c r="C59" t="s">
        <v>283</v>
      </c>
      <c r="D59" t="s">
        <v>284</v>
      </c>
      <c r="E59">
        <v>2021</v>
      </c>
      <c r="F59" t="s">
        <v>285</v>
      </c>
      <c r="G59" t="s">
        <v>253</v>
      </c>
      <c r="H59" t="s">
        <v>80</v>
      </c>
      <c r="I59" t="s">
        <v>110</v>
      </c>
      <c r="J59" t="s">
        <v>96</v>
      </c>
      <c r="K59" t="s">
        <v>9</v>
      </c>
      <c r="L59" t="s">
        <v>126</v>
      </c>
      <c r="M59" t="s">
        <v>168</v>
      </c>
      <c r="N59" t="s">
        <v>268</v>
      </c>
      <c r="O59" t="s">
        <v>112</v>
      </c>
      <c r="P59" t="s">
        <v>149</v>
      </c>
      <c r="Q59" t="s">
        <v>210</v>
      </c>
      <c r="R59" t="s">
        <v>103</v>
      </c>
      <c r="S59" t="s">
        <v>104</v>
      </c>
      <c r="T59"/>
      <c r="U59"/>
      <c r="V59"/>
      <c r="W59"/>
      <c r="X59"/>
      <c r="Y59"/>
      <c r="Z59"/>
      <c r="AA59"/>
      <c r="AB59"/>
      <c r="AC59"/>
      <c r="AD59"/>
      <c r="AE59"/>
      <c r="AF59">
        <v>28.68416</v>
      </c>
      <c r="AG59">
        <v>115.938129</v>
      </c>
      <c r="AH59" t="s">
        <v>286</v>
      </c>
      <c r="AI59">
        <v>108</v>
      </c>
      <c r="AJ59">
        <v>2.6</v>
      </c>
      <c r="AK59" t="s">
        <v>115</v>
      </c>
      <c r="AL59">
        <v>24</v>
      </c>
      <c r="AM59">
        <v>6</v>
      </c>
      <c r="AN59" t="s">
        <v>270</v>
      </c>
      <c r="AO59" t="s">
        <v>183</v>
      </c>
      <c r="AP59" t="s">
        <v>271</v>
      </c>
      <c r="AQ59" t="s">
        <v>89</v>
      </c>
      <c r="AR59" t="s">
        <v>89</v>
      </c>
      <c r="AS59" t="s">
        <v>82</v>
      </c>
      <c r="AT59" t="s">
        <v>90</v>
      </c>
      <c r="AU59" t="s">
        <v>91</v>
      </c>
      <c r="AV59" t="s">
        <v>287</v>
      </c>
      <c r="AW59" t="s">
        <v>93</v>
      </c>
      <c r="AX59" t="s">
        <v>94</v>
      </c>
      <c r="AY59" t="s">
        <v>95</v>
      </c>
      <c r="AZ59">
        <v>26.82589131</v>
      </c>
      <c r="BA59">
        <v>11.29855935</v>
      </c>
      <c r="BB59">
        <v>6</v>
      </c>
      <c r="BC59">
        <v>58.68812738</v>
      </c>
      <c r="BD59">
        <v>25.75407108</v>
      </c>
      <c r="BE59">
        <v>6</v>
      </c>
      <c r="BF59">
        <v>4.413291796</v>
      </c>
      <c r="BG59">
        <v>8.340568412</v>
      </c>
      <c r="BH59">
        <v>6</v>
      </c>
      <c r="BI59">
        <v>13.10141918</v>
      </c>
      <c r="BJ59">
        <v>11.61910041</v>
      </c>
      <c r="BK59">
        <v>6</v>
      </c>
      <c r="BL59"/>
      <c r="BM59"/>
      <c r="BN59"/>
      <c r="BO59"/>
      <c r="BP59"/>
      <c r="BQ59"/>
      <c r="BR59"/>
      <c r="BS59"/>
      <c r="BT59"/>
      <c r="BU59"/>
      <c r="BV59"/>
      <c r="BW59"/>
      <c r="BX59"/>
    </row>
    <row r="60" s="1" customFormat="1" ht="15" customHeight="1" spans="1:76">
      <c r="A60">
        <v>21</v>
      </c>
      <c r="B60">
        <v>60</v>
      </c>
      <c r="C60" t="s">
        <v>288</v>
      </c>
      <c r="D60" t="s">
        <v>289</v>
      </c>
      <c r="E60">
        <v>2020</v>
      </c>
      <c r="F60" t="s">
        <v>290</v>
      </c>
      <c r="G60" t="s">
        <v>291</v>
      </c>
      <c r="H60" t="s">
        <v>80</v>
      </c>
      <c r="I60" t="s">
        <v>110</v>
      </c>
      <c r="J60" t="s">
        <v>96</v>
      </c>
      <c r="K60" t="s">
        <v>9</v>
      </c>
      <c r="L60" t="s">
        <v>126</v>
      </c>
      <c r="M60" t="s">
        <v>168</v>
      </c>
      <c r="N60" t="s">
        <v>292</v>
      </c>
      <c r="O60" t="s">
        <v>112</v>
      </c>
      <c r="P60" t="s">
        <v>149</v>
      </c>
      <c r="Q60" t="s">
        <v>210</v>
      </c>
      <c r="R60" t="s">
        <v>103</v>
      </c>
      <c r="S60" t="s">
        <v>104</v>
      </c>
      <c r="T60"/>
      <c r="U60"/>
      <c r="V60"/>
      <c r="W60"/>
      <c r="X60"/>
      <c r="Y60"/>
      <c r="Z60"/>
      <c r="AA60"/>
      <c r="AB60"/>
      <c r="AC60"/>
      <c r="AD60"/>
      <c r="AE60"/>
      <c r="AF60">
        <v>32.057421</v>
      </c>
      <c r="AG60">
        <v>118.805819</v>
      </c>
      <c r="AH60" t="s">
        <v>154</v>
      </c>
      <c r="AI60">
        <v>30</v>
      </c>
      <c r="AJ60">
        <v>100</v>
      </c>
      <c r="AK60" t="s">
        <v>86</v>
      </c>
      <c r="AL60">
        <v>16</v>
      </c>
      <c r="AM60">
        <v>4</v>
      </c>
      <c r="AN60" t="s">
        <v>87</v>
      </c>
      <c r="AO60" t="s">
        <v>262</v>
      </c>
      <c r="AP60" t="s">
        <v>293</v>
      </c>
      <c r="AQ60" t="s">
        <v>89</v>
      </c>
      <c r="AR60" t="s">
        <v>89</v>
      </c>
      <c r="AS60" t="s">
        <v>82</v>
      </c>
      <c r="AT60" t="s">
        <v>90</v>
      </c>
      <c r="AU60" t="s">
        <v>91</v>
      </c>
      <c r="AV60" t="s">
        <v>287</v>
      </c>
      <c r="AW60" t="s">
        <v>93</v>
      </c>
      <c r="AX60" t="s">
        <v>94</v>
      </c>
      <c r="AY60" t="s">
        <v>95</v>
      </c>
      <c r="AZ60">
        <v>1783.31467</v>
      </c>
      <c r="BA60">
        <v>347.1444569</v>
      </c>
      <c r="BB60">
        <v>4</v>
      </c>
      <c r="BC60">
        <v>1035.834267</v>
      </c>
      <c r="BD60">
        <v>229.5632699</v>
      </c>
      <c r="BE60">
        <v>4</v>
      </c>
      <c r="BF60">
        <v>2141.657335</v>
      </c>
      <c r="BG60">
        <v>190.3695409</v>
      </c>
      <c r="BH60">
        <v>4</v>
      </c>
      <c r="BI60">
        <v>1872.900336</v>
      </c>
      <c r="BJ60">
        <v>55.99104143</v>
      </c>
      <c r="BK60">
        <v>4</v>
      </c>
      <c r="BL60"/>
      <c r="BM60"/>
      <c r="BN60"/>
      <c r="BO60"/>
      <c r="BP60"/>
      <c r="BQ60"/>
      <c r="BR60"/>
      <c r="BS60"/>
      <c r="BT60"/>
      <c r="BU60"/>
      <c r="BV60"/>
      <c r="BW60"/>
      <c r="BX60"/>
    </row>
    <row r="61" s="1" customFormat="1" ht="15" customHeight="1" spans="1:76">
      <c r="A61">
        <v>21</v>
      </c>
      <c r="B61">
        <v>61</v>
      </c>
      <c r="C61" t="s">
        <v>288</v>
      </c>
      <c r="D61" t="s">
        <v>289</v>
      </c>
      <c r="E61">
        <v>2020</v>
      </c>
      <c r="F61" t="s">
        <v>290</v>
      </c>
      <c r="G61" t="s">
        <v>291</v>
      </c>
      <c r="H61" t="s">
        <v>80</v>
      </c>
      <c r="I61" t="s">
        <v>110</v>
      </c>
      <c r="J61" t="s">
        <v>96</v>
      </c>
      <c r="K61" t="s">
        <v>9</v>
      </c>
      <c r="L61" t="s">
        <v>126</v>
      </c>
      <c r="M61" t="s">
        <v>168</v>
      </c>
      <c r="N61" t="s">
        <v>292</v>
      </c>
      <c r="O61" t="s">
        <v>112</v>
      </c>
      <c r="P61" t="s">
        <v>149</v>
      </c>
      <c r="Q61" t="s">
        <v>210</v>
      </c>
      <c r="R61" t="s">
        <v>103</v>
      </c>
      <c r="S61" t="s">
        <v>104</v>
      </c>
      <c r="T61"/>
      <c r="U61"/>
      <c r="V61"/>
      <c r="W61"/>
      <c r="X61"/>
      <c r="Y61"/>
      <c r="Z61"/>
      <c r="AA61"/>
      <c r="AB61"/>
      <c r="AC61"/>
      <c r="AD61"/>
      <c r="AE61"/>
      <c r="AF61">
        <v>32.057421</v>
      </c>
      <c r="AG61">
        <v>118.805819</v>
      </c>
      <c r="AH61" t="s">
        <v>154</v>
      </c>
      <c r="AI61">
        <v>30</v>
      </c>
      <c r="AJ61">
        <v>100</v>
      </c>
      <c r="AK61" t="s">
        <v>86</v>
      </c>
      <c r="AL61">
        <v>16</v>
      </c>
      <c r="AM61">
        <v>4</v>
      </c>
      <c r="AN61" t="s">
        <v>87</v>
      </c>
      <c r="AO61" t="s">
        <v>262</v>
      </c>
      <c r="AP61" t="s">
        <v>293</v>
      </c>
      <c r="AQ61" t="s">
        <v>185</v>
      </c>
      <c r="AR61" t="s">
        <v>186</v>
      </c>
      <c r="AS61" t="s">
        <v>82</v>
      </c>
      <c r="AT61" t="s">
        <v>212</v>
      </c>
      <c r="AU61" t="s">
        <v>91</v>
      </c>
      <c r="AV61" t="s">
        <v>287</v>
      </c>
      <c r="AW61" t="s">
        <v>93</v>
      </c>
      <c r="AX61" t="s">
        <v>94</v>
      </c>
      <c r="AY61" t="s">
        <v>95</v>
      </c>
      <c r="AZ61">
        <v>39.6969697</v>
      </c>
      <c r="BA61">
        <v>5.939393939</v>
      </c>
      <c r="BB61">
        <v>4</v>
      </c>
      <c r="BC61">
        <v>23.15151515</v>
      </c>
      <c r="BD61">
        <v>8.242424242</v>
      </c>
      <c r="BE61">
        <v>4</v>
      </c>
      <c r="BF61">
        <v>47.03030303</v>
      </c>
      <c r="BG61">
        <v>4.96969697</v>
      </c>
      <c r="BH61">
        <v>4</v>
      </c>
      <c r="BI61">
        <v>40.06060606</v>
      </c>
      <c r="BJ61">
        <v>2.424242424</v>
      </c>
      <c r="BK61">
        <v>4</v>
      </c>
      <c r="BL61"/>
      <c r="BM61"/>
      <c r="BN61"/>
      <c r="BO61"/>
      <c r="BP61"/>
      <c r="BQ61"/>
      <c r="BR61"/>
      <c r="BS61"/>
      <c r="BT61"/>
      <c r="BU61"/>
      <c r="BV61"/>
      <c r="BW61"/>
      <c r="BX61"/>
    </row>
    <row r="62" s="1" customFormat="1" ht="15" customHeight="1" spans="1:76">
      <c r="A62">
        <v>22</v>
      </c>
      <c r="B62">
        <v>62</v>
      </c>
      <c r="C62" t="s">
        <v>294</v>
      </c>
      <c r="D62" t="s">
        <v>295</v>
      </c>
      <c r="E62">
        <v>2013</v>
      </c>
      <c r="F62" t="s">
        <v>296</v>
      </c>
      <c r="G62" t="s">
        <v>297</v>
      </c>
      <c r="H62" t="s">
        <v>80</v>
      </c>
      <c r="I62" t="s">
        <v>110</v>
      </c>
      <c r="J62" t="s">
        <v>96</v>
      </c>
      <c r="K62" t="s">
        <v>9</v>
      </c>
      <c r="L62" t="s">
        <v>97</v>
      </c>
      <c r="M62" t="s">
        <v>98</v>
      </c>
      <c r="N62" t="s">
        <v>99</v>
      </c>
      <c r="O62" t="s">
        <v>112</v>
      </c>
      <c r="P62" t="s">
        <v>101</v>
      </c>
      <c r="Q62" t="s">
        <v>102</v>
      </c>
      <c r="R62" t="s">
        <v>103</v>
      </c>
      <c r="S62" t="s">
        <v>104</v>
      </c>
      <c r="T62">
        <v>0.42</v>
      </c>
      <c r="U62">
        <v>2.45</v>
      </c>
      <c r="V62">
        <f>2.53-T62</f>
        <v>2.11</v>
      </c>
      <c r="W62"/>
      <c r="X62">
        <v>0.06</v>
      </c>
      <c r="Y62">
        <v>0.23</v>
      </c>
      <c r="Z62">
        <v>28</v>
      </c>
      <c r="AA62"/>
      <c r="AB62" t="s">
        <v>105</v>
      </c>
      <c r="AC62" t="s">
        <v>105</v>
      </c>
      <c r="AD62">
        <v>6.53</v>
      </c>
      <c r="AE62">
        <v>18.9</v>
      </c>
      <c r="AF62">
        <v>30.233641</v>
      </c>
      <c r="AG62">
        <v>114.468351</v>
      </c>
      <c r="AH62" t="s">
        <v>298</v>
      </c>
      <c r="AI62">
        <v>42</v>
      </c>
      <c r="AJ62">
        <v>300</v>
      </c>
      <c r="AK62" t="s">
        <v>86</v>
      </c>
      <c r="AL62">
        <v>24</v>
      </c>
      <c r="AM62">
        <v>6</v>
      </c>
      <c r="AN62" t="s">
        <v>161</v>
      </c>
      <c r="AO62" t="s">
        <v>117</v>
      </c>
      <c r="AP62" t="s">
        <v>281</v>
      </c>
      <c r="AQ62" t="s">
        <v>185</v>
      </c>
      <c r="AR62" t="s">
        <v>186</v>
      </c>
      <c r="AS62" t="s">
        <v>96</v>
      </c>
      <c r="AT62" t="s">
        <v>299</v>
      </c>
      <c r="AU62" t="s">
        <v>91</v>
      </c>
      <c r="AV62" t="s">
        <v>92</v>
      </c>
      <c r="AW62" t="s">
        <v>193</v>
      </c>
      <c r="AX62" t="s">
        <v>193</v>
      </c>
      <c r="AY62" t="s">
        <v>194</v>
      </c>
      <c r="AZ62">
        <v>0.024563233</v>
      </c>
      <c r="BA62">
        <v>0.000766464</v>
      </c>
      <c r="BB62">
        <v>6</v>
      </c>
      <c r="BC62">
        <v>0.018226858</v>
      </c>
      <c r="BD62">
        <v>0.002491007</v>
      </c>
      <c r="BE62">
        <v>6</v>
      </c>
      <c r="BF62">
        <v>0.024093872</v>
      </c>
      <c r="BG62">
        <v>0.001341311</v>
      </c>
      <c r="BH62">
        <v>6</v>
      </c>
      <c r="BI62">
        <v>0.006883963</v>
      </c>
      <c r="BJ62">
        <v>0.001532927</v>
      </c>
      <c r="BK62">
        <v>6</v>
      </c>
      <c r="BL62"/>
      <c r="BM62"/>
      <c r="BN62"/>
      <c r="BO62"/>
      <c r="BP62"/>
      <c r="BQ62"/>
      <c r="BR62"/>
      <c r="BS62"/>
      <c r="BT62"/>
      <c r="BU62"/>
      <c r="BV62"/>
      <c r="BW62"/>
      <c r="BX62"/>
    </row>
    <row r="63" s="1" customFormat="1" ht="15" customHeight="1" spans="1:76">
      <c r="A63">
        <v>22</v>
      </c>
      <c r="B63">
        <v>63</v>
      </c>
      <c r="C63" t="s">
        <v>294</v>
      </c>
      <c r="D63" t="s">
        <v>295</v>
      </c>
      <c r="E63">
        <v>2013</v>
      </c>
      <c r="F63" t="s">
        <v>296</v>
      </c>
      <c r="G63" t="s">
        <v>297</v>
      </c>
      <c r="H63" t="s">
        <v>80</v>
      </c>
      <c r="I63" t="s">
        <v>110</v>
      </c>
      <c r="J63" t="s">
        <v>96</v>
      </c>
      <c r="K63" t="s">
        <v>9</v>
      </c>
      <c r="L63" t="s">
        <v>97</v>
      </c>
      <c r="M63" t="s">
        <v>98</v>
      </c>
      <c r="N63" t="s">
        <v>99</v>
      </c>
      <c r="O63" t="s">
        <v>112</v>
      </c>
      <c r="P63" t="s">
        <v>101</v>
      </c>
      <c r="Q63" t="s">
        <v>102</v>
      </c>
      <c r="R63" t="s">
        <v>103</v>
      </c>
      <c r="S63" t="s">
        <v>104</v>
      </c>
      <c r="T63">
        <v>0.42</v>
      </c>
      <c r="U63">
        <v>2.45</v>
      </c>
      <c r="V63">
        <v>2.11</v>
      </c>
      <c r="W63"/>
      <c r="X63">
        <v>0.06</v>
      </c>
      <c r="Y63">
        <v>0.23</v>
      </c>
      <c r="Z63">
        <v>28</v>
      </c>
      <c r="AA63"/>
      <c r="AB63" t="s">
        <v>105</v>
      </c>
      <c r="AC63" t="s">
        <v>105</v>
      </c>
      <c r="AD63">
        <v>6.53</v>
      </c>
      <c r="AE63">
        <v>18.9</v>
      </c>
      <c r="AF63">
        <v>30.233641</v>
      </c>
      <c r="AG63">
        <v>114.468351</v>
      </c>
      <c r="AH63" t="s">
        <v>298</v>
      </c>
      <c r="AI63">
        <v>42</v>
      </c>
      <c r="AJ63">
        <v>300</v>
      </c>
      <c r="AK63" t="s">
        <v>86</v>
      </c>
      <c r="AL63">
        <v>24</v>
      </c>
      <c r="AM63">
        <v>6</v>
      </c>
      <c r="AN63" t="s">
        <v>161</v>
      </c>
      <c r="AO63" t="s">
        <v>117</v>
      </c>
      <c r="AP63" t="s">
        <v>281</v>
      </c>
      <c r="AQ63" t="s">
        <v>89</v>
      </c>
      <c r="AR63" t="s">
        <v>89</v>
      </c>
      <c r="AS63" t="s">
        <v>96</v>
      </c>
      <c r="AT63" t="s">
        <v>299</v>
      </c>
      <c r="AU63" t="s">
        <v>91</v>
      </c>
      <c r="AV63" t="s">
        <v>92</v>
      </c>
      <c r="AW63" t="s">
        <v>193</v>
      </c>
      <c r="AX63" t="s">
        <v>193</v>
      </c>
      <c r="AY63" t="s">
        <v>194</v>
      </c>
      <c r="AZ63">
        <v>1.70911215</v>
      </c>
      <c r="BA63">
        <v>0.090138933</v>
      </c>
      <c r="BB63">
        <v>6</v>
      </c>
      <c r="BC63">
        <v>1.116238318</v>
      </c>
      <c r="BD63">
        <v>0.260401363</v>
      </c>
      <c r="BE63">
        <v>6</v>
      </c>
      <c r="BF63">
        <v>1.619158879</v>
      </c>
      <c r="BG63">
        <v>0.080123496</v>
      </c>
      <c r="BH63">
        <v>6</v>
      </c>
      <c r="BI63">
        <v>0.637850467</v>
      </c>
      <c r="BJ63">
        <v>0.030046311</v>
      </c>
      <c r="BK63">
        <v>6</v>
      </c>
      <c r="BL63"/>
      <c r="BM63"/>
      <c r="BN63"/>
      <c r="BO63"/>
      <c r="BP63"/>
      <c r="BQ63"/>
      <c r="BR63"/>
      <c r="BS63"/>
      <c r="BT63"/>
      <c r="BU63"/>
      <c r="BV63"/>
      <c r="BW63"/>
      <c r="BX63"/>
    </row>
    <row r="64" s="1" customFormat="1" ht="15" customHeight="1" spans="1:76">
      <c r="A64">
        <v>22</v>
      </c>
      <c r="B64">
        <v>64</v>
      </c>
      <c r="C64" t="s">
        <v>294</v>
      </c>
      <c r="D64" t="s">
        <v>295</v>
      </c>
      <c r="E64">
        <v>2013</v>
      </c>
      <c r="F64" t="s">
        <v>296</v>
      </c>
      <c r="G64" t="s">
        <v>297</v>
      </c>
      <c r="H64" t="s">
        <v>80</v>
      </c>
      <c r="I64" t="s">
        <v>110</v>
      </c>
      <c r="J64" t="s">
        <v>96</v>
      </c>
      <c r="K64" t="s">
        <v>9</v>
      </c>
      <c r="L64" t="s">
        <v>126</v>
      </c>
      <c r="M64" t="s">
        <v>242</v>
      </c>
      <c r="N64" t="s">
        <v>300</v>
      </c>
      <c r="O64" t="s">
        <v>112</v>
      </c>
      <c r="P64" t="s">
        <v>149</v>
      </c>
      <c r="Q64" t="s">
        <v>102</v>
      </c>
      <c r="R64" t="s">
        <v>103</v>
      </c>
      <c r="S64" t="s">
        <v>104</v>
      </c>
      <c r="T64">
        <v>0.42</v>
      </c>
      <c r="U64">
        <v>2.45</v>
      </c>
      <c r="V64">
        <v>2.11</v>
      </c>
      <c r="W64"/>
      <c r="X64">
        <v>0.06</v>
      </c>
      <c r="Y64">
        <v>0.23</v>
      </c>
      <c r="Z64">
        <v>28</v>
      </c>
      <c r="AA64"/>
      <c r="AB64" t="s">
        <v>105</v>
      </c>
      <c r="AC64" t="s">
        <v>105</v>
      </c>
      <c r="AD64">
        <v>6.53</v>
      </c>
      <c r="AE64">
        <v>18.9</v>
      </c>
      <c r="AF64">
        <v>30.233641</v>
      </c>
      <c r="AG64">
        <v>114.468351</v>
      </c>
      <c r="AH64" t="s">
        <v>298</v>
      </c>
      <c r="AI64">
        <v>42</v>
      </c>
      <c r="AJ64">
        <v>300</v>
      </c>
      <c r="AK64" t="s">
        <v>86</v>
      </c>
      <c r="AL64">
        <v>24</v>
      </c>
      <c r="AM64">
        <v>6</v>
      </c>
      <c r="AN64" t="s">
        <v>161</v>
      </c>
      <c r="AO64" t="s">
        <v>117</v>
      </c>
      <c r="AP64" t="s">
        <v>281</v>
      </c>
      <c r="AQ64" t="s">
        <v>185</v>
      </c>
      <c r="AR64" t="s">
        <v>186</v>
      </c>
      <c r="AS64" t="s">
        <v>96</v>
      </c>
      <c r="AT64" t="s">
        <v>299</v>
      </c>
      <c r="AU64" t="s">
        <v>91</v>
      </c>
      <c r="AV64" t="s">
        <v>92</v>
      </c>
      <c r="AW64" t="s">
        <v>193</v>
      </c>
      <c r="AX64" t="s">
        <v>193</v>
      </c>
      <c r="AY64" t="s">
        <v>194</v>
      </c>
      <c r="AZ64">
        <v>0.054915254</v>
      </c>
      <c r="BA64">
        <v>0.002874238</v>
      </c>
      <c r="BB64">
        <v>6</v>
      </c>
      <c r="BC64">
        <v>0.043650587</v>
      </c>
      <c r="BD64">
        <v>0.000958079</v>
      </c>
      <c r="BE64">
        <v>6</v>
      </c>
      <c r="BF64">
        <v>0.053741851</v>
      </c>
      <c r="BG64">
        <v>0.000766464</v>
      </c>
      <c r="BH64">
        <v>6</v>
      </c>
      <c r="BI64">
        <v>0.046779661</v>
      </c>
      <c r="BJ64">
        <v>0.000766464</v>
      </c>
      <c r="BK64">
        <v>6</v>
      </c>
      <c r="BL64"/>
      <c r="BM64"/>
      <c r="BN64"/>
      <c r="BO64"/>
      <c r="BP64"/>
      <c r="BQ64"/>
      <c r="BR64"/>
      <c r="BS64"/>
      <c r="BT64"/>
      <c r="BU64"/>
      <c r="BV64"/>
      <c r="BW64"/>
      <c r="BX64"/>
    </row>
    <row r="65" s="1" customFormat="1" ht="15" customHeight="1" spans="1:76">
      <c r="A65">
        <v>22</v>
      </c>
      <c r="B65">
        <v>65</v>
      </c>
      <c r="C65" t="s">
        <v>294</v>
      </c>
      <c r="D65" t="s">
        <v>295</v>
      </c>
      <c r="E65">
        <v>2013</v>
      </c>
      <c r="F65" t="s">
        <v>296</v>
      </c>
      <c r="G65" t="s">
        <v>297</v>
      </c>
      <c r="H65" t="s">
        <v>80</v>
      </c>
      <c r="I65" t="s">
        <v>110</v>
      </c>
      <c r="J65" t="s">
        <v>96</v>
      </c>
      <c r="K65" t="s">
        <v>9</v>
      </c>
      <c r="L65" t="s">
        <v>126</v>
      </c>
      <c r="M65" t="s">
        <v>242</v>
      </c>
      <c r="N65" t="s">
        <v>300</v>
      </c>
      <c r="O65" t="s">
        <v>112</v>
      </c>
      <c r="P65" t="s">
        <v>149</v>
      </c>
      <c r="Q65" t="s">
        <v>102</v>
      </c>
      <c r="R65" t="s">
        <v>103</v>
      </c>
      <c r="S65" t="s">
        <v>104</v>
      </c>
      <c r="T65">
        <v>0.42</v>
      </c>
      <c r="U65">
        <v>2.45</v>
      </c>
      <c r="V65">
        <v>2.11</v>
      </c>
      <c r="W65"/>
      <c r="X65">
        <v>0.06</v>
      </c>
      <c r="Y65">
        <v>0.23</v>
      </c>
      <c r="Z65">
        <v>28</v>
      </c>
      <c r="AA65"/>
      <c r="AB65" t="s">
        <v>105</v>
      </c>
      <c r="AC65" t="s">
        <v>105</v>
      </c>
      <c r="AD65">
        <v>6.53</v>
      </c>
      <c r="AE65">
        <v>18.9</v>
      </c>
      <c r="AF65">
        <v>30.233641</v>
      </c>
      <c r="AG65">
        <v>114.468351</v>
      </c>
      <c r="AH65" t="s">
        <v>298</v>
      </c>
      <c r="AI65">
        <v>42</v>
      </c>
      <c r="AJ65">
        <v>300</v>
      </c>
      <c r="AK65" t="s">
        <v>86</v>
      </c>
      <c r="AL65">
        <v>24</v>
      </c>
      <c r="AM65">
        <v>6</v>
      </c>
      <c r="AN65" t="s">
        <v>161</v>
      </c>
      <c r="AO65" t="s">
        <v>117</v>
      </c>
      <c r="AP65" t="s">
        <v>281</v>
      </c>
      <c r="AQ65" t="s">
        <v>89</v>
      </c>
      <c r="AR65" t="s">
        <v>89</v>
      </c>
      <c r="AS65" t="s">
        <v>96</v>
      </c>
      <c r="AT65" t="s">
        <v>299</v>
      </c>
      <c r="AU65" t="s">
        <v>91</v>
      </c>
      <c r="AV65" t="s">
        <v>92</v>
      </c>
      <c r="AW65" t="s">
        <v>193</v>
      </c>
      <c r="AX65" t="s">
        <v>193</v>
      </c>
      <c r="AY65" t="s">
        <v>194</v>
      </c>
      <c r="AZ65">
        <v>2.093457944</v>
      </c>
      <c r="BA65">
        <v>0.060092622</v>
      </c>
      <c r="BB65">
        <v>6</v>
      </c>
      <c r="BC65">
        <v>1.373831776</v>
      </c>
      <c r="BD65">
        <v>0.040061748</v>
      </c>
      <c r="BE65">
        <v>6</v>
      </c>
      <c r="BF65">
        <v>2.036214953</v>
      </c>
      <c r="BG65">
        <v>0.060092622</v>
      </c>
      <c r="BH65">
        <v>6</v>
      </c>
      <c r="BI65">
        <v>1.75</v>
      </c>
      <c r="BJ65">
        <v>0.030046311</v>
      </c>
      <c r="BK65">
        <v>6</v>
      </c>
      <c r="BL65"/>
      <c r="BM65"/>
      <c r="BN65"/>
      <c r="BO65"/>
      <c r="BP65"/>
      <c r="BQ65"/>
      <c r="BR65"/>
      <c r="BS65"/>
      <c r="BT65"/>
      <c r="BU65"/>
      <c r="BV65"/>
      <c r="BW65"/>
      <c r="BX65"/>
    </row>
    <row r="66" s="1" customFormat="1" ht="15" customHeight="1" spans="1:76">
      <c r="A66">
        <v>22</v>
      </c>
      <c r="B66">
        <v>66</v>
      </c>
      <c r="C66" t="s">
        <v>294</v>
      </c>
      <c r="D66" t="s">
        <v>295</v>
      </c>
      <c r="E66">
        <v>2013</v>
      </c>
      <c r="F66" t="s">
        <v>296</v>
      </c>
      <c r="G66" t="s">
        <v>297</v>
      </c>
      <c r="H66" t="s">
        <v>80</v>
      </c>
      <c r="I66" t="s">
        <v>110</v>
      </c>
      <c r="J66" t="s">
        <v>96</v>
      </c>
      <c r="K66" t="s">
        <v>9</v>
      </c>
      <c r="L66" t="s">
        <v>146</v>
      </c>
      <c r="M66" t="s">
        <v>147</v>
      </c>
      <c r="N66" t="s">
        <v>148</v>
      </c>
      <c r="O66" t="s">
        <v>112</v>
      </c>
      <c r="P66" t="s">
        <v>149</v>
      </c>
      <c r="Q66" t="s">
        <v>102</v>
      </c>
      <c r="R66" t="s">
        <v>103</v>
      </c>
      <c r="S66" t="s">
        <v>104</v>
      </c>
      <c r="T66">
        <v>0.42</v>
      </c>
      <c r="U66">
        <v>2.45</v>
      </c>
      <c r="V66">
        <v>2.11</v>
      </c>
      <c r="W66"/>
      <c r="X66">
        <v>0.06</v>
      </c>
      <c r="Y66">
        <v>0.23</v>
      </c>
      <c r="Z66">
        <v>28</v>
      </c>
      <c r="AA66"/>
      <c r="AB66" t="s">
        <v>105</v>
      </c>
      <c r="AC66" t="s">
        <v>105</v>
      </c>
      <c r="AD66">
        <v>6.53</v>
      </c>
      <c r="AE66">
        <v>18.9</v>
      </c>
      <c r="AF66">
        <v>30.233641</v>
      </c>
      <c r="AG66">
        <v>114.468351</v>
      </c>
      <c r="AH66" t="s">
        <v>298</v>
      </c>
      <c r="AI66">
        <v>42</v>
      </c>
      <c r="AJ66">
        <v>300</v>
      </c>
      <c r="AK66" t="s">
        <v>86</v>
      </c>
      <c r="AL66">
        <v>24</v>
      </c>
      <c r="AM66">
        <v>6</v>
      </c>
      <c r="AN66" t="s">
        <v>161</v>
      </c>
      <c r="AO66" t="s">
        <v>117</v>
      </c>
      <c r="AP66" t="s">
        <v>281</v>
      </c>
      <c r="AQ66" t="s">
        <v>185</v>
      </c>
      <c r="AR66" t="s">
        <v>186</v>
      </c>
      <c r="AS66" t="s">
        <v>96</v>
      </c>
      <c r="AT66" t="s">
        <v>299</v>
      </c>
      <c r="AU66" t="s">
        <v>91</v>
      </c>
      <c r="AV66" t="s">
        <v>92</v>
      </c>
      <c r="AW66" t="s">
        <v>193</v>
      </c>
      <c r="AX66" t="s">
        <v>193</v>
      </c>
      <c r="AY66" t="s">
        <v>194</v>
      </c>
      <c r="AZ66">
        <v>0.030039113</v>
      </c>
      <c r="BA66">
        <v>0.000383232</v>
      </c>
      <c r="BB66">
        <v>6</v>
      </c>
      <c r="BC66">
        <v>0.026205997</v>
      </c>
      <c r="BD66">
        <v>0.001149695</v>
      </c>
      <c r="BE66">
        <v>6</v>
      </c>
      <c r="BF66">
        <v>0.034889179</v>
      </c>
      <c r="BG66">
        <v>0.001149695</v>
      </c>
      <c r="BH66">
        <v>6</v>
      </c>
      <c r="BI66">
        <v>0.029726206</v>
      </c>
      <c r="BJ66">
        <v>0.001341311</v>
      </c>
      <c r="BK66">
        <v>6</v>
      </c>
      <c r="BL66"/>
      <c r="BM66"/>
      <c r="BN66"/>
      <c r="BO66"/>
      <c r="BP66"/>
      <c r="BQ66"/>
      <c r="BR66"/>
      <c r="BS66"/>
      <c r="BT66"/>
      <c r="BU66"/>
      <c r="BV66"/>
      <c r="BW66"/>
      <c r="BX66"/>
    </row>
    <row r="67" s="1" customFormat="1" ht="15" customHeight="1" spans="1:76">
      <c r="A67">
        <v>22</v>
      </c>
      <c r="B67">
        <v>67</v>
      </c>
      <c r="C67" t="s">
        <v>294</v>
      </c>
      <c r="D67" t="s">
        <v>295</v>
      </c>
      <c r="E67">
        <v>2013</v>
      </c>
      <c r="F67" t="s">
        <v>296</v>
      </c>
      <c r="G67" t="s">
        <v>297</v>
      </c>
      <c r="H67" t="s">
        <v>80</v>
      </c>
      <c r="I67" t="s">
        <v>110</v>
      </c>
      <c r="J67" t="s">
        <v>96</v>
      </c>
      <c r="K67" t="s">
        <v>9</v>
      </c>
      <c r="L67" t="s">
        <v>146</v>
      </c>
      <c r="M67" t="s">
        <v>147</v>
      </c>
      <c r="N67" t="s">
        <v>148</v>
      </c>
      <c r="O67" t="s">
        <v>112</v>
      </c>
      <c r="P67" t="s">
        <v>149</v>
      </c>
      <c r="Q67" t="s">
        <v>102</v>
      </c>
      <c r="R67" t="s">
        <v>103</v>
      </c>
      <c r="S67" t="s">
        <v>104</v>
      </c>
      <c r="T67">
        <v>0.42</v>
      </c>
      <c r="U67">
        <v>2.45</v>
      </c>
      <c r="V67">
        <v>2.11</v>
      </c>
      <c r="W67"/>
      <c r="X67">
        <v>0.06</v>
      </c>
      <c r="Y67">
        <v>0.23</v>
      </c>
      <c r="Z67">
        <v>28</v>
      </c>
      <c r="AA67"/>
      <c r="AB67" t="s">
        <v>105</v>
      </c>
      <c r="AC67" t="s">
        <v>105</v>
      </c>
      <c r="AD67">
        <v>6.53</v>
      </c>
      <c r="AE67">
        <v>18.9</v>
      </c>
      <c r="AF67">
        <v>30.233641</v>
      </c>
      <c r="AG67">
        <v>114.468351</v>
      </c>
      <c r="AH67" t="s">
        <v>298</v>
      </c>
      <c r="AI67">
        <v>42</v>
      </c>
      <c r="AJ67">
        <v>300</v>
      </c>
      <c r="AK67" t="s">
        <v>86</v>
      </c>
      <c r="AL67">
        <v>24</v>
      </c>
      <c r="AM67">
        <v>6</v>
      </c>
      <c r="AN67" t="s">
        <v>161</v>
      </c>
      <c r="AO67" t="s">
        <v>117</v>
      </c>
      <c r="AP67" t="s">
        <v>281</v>
      </c>
      <c r="AQ67" t="s">
        <v>89</v>
      </c>
      <c r="AR67" t="s">
        <v>89</v>
      </c>
      <c r="AS67" t="s">
        <v>96</v>
      </c>
      <c r="AT67" t="s">
        <v>299</v>
      </c>
      <c r="AU67" t="s">
        <v>91</v>
      </c>
      <c r="AV67" t="s">
        <v>92</v>
      </c>
      <c r="AW67" t="s">
        <v>193</v>
      </c>
      <c r="AX67" t="s">
        <v>193</v>
      </c>
      <c r="AY67" t="s">
        <v>194</v>
      </c>
      <c r="AZ67">
        <v>2.514602804</v>
      </c>
      <c r="BA67">
        <v>0.080123496</v>
      </c>
      <c r="BB67">
        <v>6</v>
      </c>
      <c r="BC67">
        <v>2.052570093</v>
      </c>
      <c r="BD67">
        <v>0.110169807</v>
      </c>
      <c r="BE67">
        <v>6</v>
      </c>
      <c r="BF67">
        <v>2.776285047</v>
      </c>
      <c r="BG67">
        <v>0.070108059</v>
      </c>
      <c r="BH67">
        <v>6</v>
      </c>
      <c r="BI67">
        <v>2.469626168</v>
      </c>
      <c r="BJ67">
        <v>0.140216118</v>
      </c>
      <c r="BK67">
        <v>6</v>
      </c>
      <c r="BL67"/>
      <c r="BM67"/>
      <c r="BN67"/>
      <c r="BO67"/>
      <c r="BP67"/>
      <c r="BQ67"/>
      <c r="BR67"/>
      <c r="BS67"/>
      <c r="BT67"/>
      <c r="BU67"/>
      <c r="BV67"/>
      <c r="BW67"/>
      <c r="BX67"/>
    </row>
    <row r="68" s="1" customFormat="1" ht="15" customHeight="1" spans="1:76">
      <c r="A68">
        <v>23</v>
      </c>
      <c r="B68">
        <v>68</v>
      </c>
      <c r="C68" t="s">
        <v>301</v>
      </c>
      <c r="D68" t="s">
        <v>302</v>
      </c>
      <c r="E68">
        <v>2015</v>
      </c>
      <c r="F68" t="s">
        <v>303</v>
      </c>
      <c r="G68" t="s">
        <v>304</v>
      </c>
      <c r="H68" t="s">
        <v>80</v>
      </c>
      <c r="I68" t="s">
        <v>110</v>
      </c>
      <c r="J68" t="s">
        <v>96</v>
      </c>
      <c r="K68" t="s">
        <v>9</v>
      </c>
      <c r="L68" t="s">
        <v>126</v>
      </c>
      <c r="M68" t="s">
        <v>168</v>
      </c>
      <c r="N68" t="s">
        <v>209</v>
      </c>
      <c r="O68" t="s">
        <v>112</v>
      </c>
      <c r="P68" t="s">
        <v>149</v>
      </c>
      <c r="Q68" t="s">
        <v>210</v>
      </c>
      <c r="R68" t="s">
        <v>103</v>
      </c>
      <c r="S68" t="s">
        <v>104</v>
      </c>
      <c r="T68"/>
      <c r="U68"/>
      <c r="V68"/>
      <c r="W68"/>
      <c r="X68"/>
      <c r="Y68"/>
      <c r="Z68"/>
      <c r="AA68"/>
      <c r="AB68"/>
      <c r="AC68"/>
      <c r="AD68"/>
      <c r="AE68"/>
      <c r="AF68">
        <v>31.235376</v>
      </c>
      <c r="AG68">
        <v>120.212502</v>
      </c>
      <c r="AH68" t="s">
        <v>305</v>
      </c>
      <c r="AI68">
        <v>60</v>
      </c>
      <c r="AJ68">
        <v>14</v>
      </c>
      <c r="AK68" t="s">
        <v>86</v>
      </c>
      <c r="AL68">
        <v>16</v>
      </c>
      <c r="AM68">
        <v>4</v>
      </c>
      <c r="AN68" t="s">
        <v>87</v>
      </c>
      <c r="AO68" t="s">
        <v>183</v>
      </c>
      <c r="AP68" t="s">
        <v>306</v>
      </c>
      <c r="AQ68" t="s">
        <v>185</v>
      </c>
      <c r="AR68" t="s">
        <v>186</v>
      </c>
      <c r="AS68" t="s">
        <v>82</v>
      </c>
      <c r="AT68" t="s">
        <v>212</v>
      </c>
      <c r="AU68" t="s">
        <v>91</v>
      </c>
      <c r="AV68" t="s">
        <v>307</v>
      </c>
      <c r="AW68" t="s">
        <v>93</v>
      </c>
      <c r="AX68" t="s">
        <v>94</v>
      </c>
      <c r="AY68" t="s">
        <v>95</v>
      </c>
      <c r="AZ68">
        <v>25.86750789</v>
      </c>
      <c r="BA68">
        <v>3.732912723</v>
      </c>
      <c r="BB68">
        <v>4</v>
      </c>
      <c r="BC68">
        <v>17.50788644</v>
      </c>
      <c r="BD68">
        <v>1.682439537</v>
      </c>
      <c r="BE68">
        <v>4</v>
      </c>
      <c r="BF68">
        <v>36.48790747</v>
      </c>
      <c r="BG68">
        <v>3.89064143</v>
      </c>
      <c r="BH68">
        <v>4</v>
      </c>
      <c r="BI68">
        <v>25.70977918</v>
      </c>
      <c r="BJ68">
        <v>0.893796004</v>
      </c>
      <c r="BK68">
        <v>4</v>
      </c>
      <c r="BL68"/>
      <c r="BM68"/>
      <c r="BN68"/>
      <c r="BO68"/>
      <c r="BP68"/>
      <c r="BQ68"/>
      <c r="BR68"/>
      <c r="BS68"/>
      <c r="BT68"/>
      <c r="BU68"/>
      <c r="BV68"/>
      <c r="BW68"/>
      <c r="BX68"/>
    </row>
    <row r="69" s="1" customFormat="1" ht="15" customHeight="1" spans="1:76">
      <c r="A69">
        <v>24</v>
      </c>
      <c r="B69">
        <v>69</v>
      </c>
      <c r="C69" t="s">
        <v>308</v>
      </c>
      <c r="D69" t="s">
        <v>309</v>
      </c>
      <c r="E69">
        <v>2020</v>
      </c>
      <c r="F69" t="s">
        <v>310</v>
      </c>
      <c r="G69" t="s">
        <v>79</v>
      </c>
      <c r="H69" t="s">
        <v>80</v>
      </c>
      <c r="I69" t="s">
        <v>311</v>
      </c>
      <c r="J69" t="s">
        <v>96</v>
      </c>
      <c r="K69" t="s">
        <v>9</v>
      </c>
      <c r="L69" t="s">
        <v>126</v>
      </c>
      <c r="M69" t="s">
        <v>127</v>
      </c>
      <c r="N69" t="s">
        <v>128</v>
      </c>
      <c r="O69" t="s">
        <v>100</v>
      </c>
      <c r="P69" t="s">
        <v>101</v>
      </c>
      <c r="Q69" t="s">
        <v>102</v>
      </c>
      <c r="R69" t="s">
        <v>129</v>
      </c>
      <c r="S69" t="s">
        <v>104</v>
      </c>
      <c r="T69">
        <v>0.028</v>
      </c>
      <c r="U69"/>
      <c r="V69">
        <v>0.183</v>
      </c>
      <c r="W69"/>
      <c r="X69">
        <v>0.003</v>
      </c>
      <c r="Y69"/>
      <c r="Z69">
        <v>22</v>
      </c>
      <c r="AA69"/>
      <c r="AB69" t="s">
        <v>105</v>
      </c>
      <c r="AC69" t="s">
        <v>105</v>
      </c>
      <c r="AD69">
        <v>8.03</v>
      </c>
      <c r="AE69"/>
      <c r="AF69">
        <v>-23.405293</v>
      </c>
      <c r="AG69">
        <v>-51.941769</v>
      </c>
      <c r="AH69" t="s">
        <v>312</v>
      </c>
      <c r="AI69">
        <v>45</v>
      </c>
      <c r="AJ69">
        <v>60</v>
      </c>
      <c r="AK69" t="s">
        <v>86</v>
      </c>
      <c r="AL69">
        <v>40</v>
      </c>
      <c r="AM69">
        <v>5</v>
      </c>
      <c r="AN69" t="s">
        <v>87</v>
      </c>
      <c r="AO69" t="s">
        <v>183</v>
      </c>
      <c r="AP69" t="s">
        <v>313</v>
      </c>
      <c r="AQ69" t="s">
        <v>185</v>
      </c>
      <c r="AR69" t="s">
        <v>186</v>
      </c>
      <c r="AS69" t="s">
        <v>82</v>
      </c>
      <c r="AT69" t="s">
        <v>273</v>
      </c>
      <c r="AU69" t="s">
        <v>91</v>
      </c>
      <c r="AV69" t="s">
        <v>92</v>
      </c>
      <c r="AW69" t="s">
        <v>193</v>
      </c>
      <c r="AX69" t="s">
        <v>193</v>
      </c>
      <c r="AY69" t="s">
        <v>194</v>
      </c>
      <c r="AZ69">
        <v>0.052070485</v>
      </c>
      <c r="BA69">
        <v>0.016154852</v>
      </c>
      <c r="BB69">
        <v>5</v>
      </c>
      <c r="BC69">
        <v>0.004845815</v>
      </c>
      <c r="BD69">
        <v>0.01004753</v>
      </c>
      <c r="BE69">
        <v>5</v>
      </c>
      <c r="BF69">
        <v>0.057709251</v>
      </c>
      <c r="BG69">
        <v>0.031127642</v>
      </c>
      <c r="BH69">
        <v>5</v>
      </c>
      <c r="BI69">
        <v>0.039823789</v>
      </c>
      <c r="BJ69">
        <v>0.013593717</v>
      </c>
      <c r="BK69">
        <v>5</v>
      </c>
      <c r="BL69"/>
      <c r="BM69"/>
      <c r="BN69"/>
      <c r="BO69"/>
      <c r="BP69"/>
      <c r="BQ69"/>
      <c r="BR69"/>
      <c r="BS69"/>
      <c r="BT69"/>
      <c r="BU69"/>
      <c r="BV69"/>
      <c r="BW69"/>
      <c r="BX69"/>
    </row>
    <row r="70" s="1" customFormat="1" ht="15" customHeight="1" spans="1:76">
      <c r="A70">
        <v>24</v>
      </c>
      <c r="B70">
        <v>70</v>
      </c>
      <c r="C70" t="s">
        <v>308</v>
      </c>
      <c r="D70" t="s">
        <v>309</v>
      </c>
      <c r="E70">
        <v>2020</v>
      </c>
      <c r="F70" t="s">
        <v>310</v>
      </c>
      <c r="G70" t="s">
        <v>79</v>
      </c>
      <c r="H70" t="s">
        <v>80</v>
      </c>
      <c r="I70" t="s">
        <v>311</v>
      </c>
      <c r="J70" t="s">
        <v>96</v>
      </c>
      <c r="K70" t="s">
        <v>9</v>
      </c>
      <c r="L70" t="s">
        <v>126</v>
      </c>
      <c r="M70" t="s">
        <v>242</v>
      </c>
      <c r="N70" t="s">
        <v>314</v>
      </c>
      <c r="O70" t="s">
        <v>112</v>
      </c>
      <c r="P70" t="s">
        <v>149</v>
      </c>
      <c r="Q70" t="s">
        <v>102</v>
      </c>
      <c r="R70" t="s">
        <v>103</v>
      </c>
      <c r="S70" t="s">
        <v>104</v>
      </c>
      <c r="T70">
        <v>0.028</v>
      </c>
      <c r="U70"/>
      <c r="V70">
        <v>0.183</v>
      </c>
      <c r="W70"/>
      <c r="X70">
        <v>0.003</v>
      </c>
      <c r="Y70"/>
      <c r="Z70">
        <v>22</v>
      </c>
      <c r="AA70"/>
      <c r="AB70" t="s">
        <v>105</v>
      </c>
      <c r="AC70" t="s">
        <v>105</v>
      </c>
      <c r="AD70">
        <v>8.03</v>
      </c>
      <c r="AE70"/>
      <c r="AF70">
        <v>-23.405293</v>
      </c>
      <c r="AG70">
        <v>-51.941769</v>
      </c>
      <c r="AH70" t="s">
        <v>312</v>
      </c>
      <c r="AI70">
        <v>45</v>
      </c>
      <c r="AJ70">
        <v>60</v>
      </c>
      <c r="AK70" t="s">
        <v>86</v>
      </c>
      <c r="AL70">
        <v>40</v>
      </c>
      <c r="AM70">
        <v>5</v>
      </c>
      <c r="AN70" t="s">
        <v>87</v>
      </c>
      <c r="AO70" t="s">
        <v>183</v>
      </c>
      <c r="AP70" t="s">
        <v>313</v>
      </c>
      <c r="AQ70" t="s">
        <v>185</v>
      </c>
      <c r="AR70" t="s">
        <v>186</v>
      </c>
      <c r="AS70" t="s">
        <v>82</v>
      </c>
      <c r="AT70" t="s">
        <v>273</v>
      </c>
      <c r="AU70" t="s">
        <v>91</v>
      </c>
      <c r="AV70" t="s">
        <v>92</v>
      </c>
      <c r="AW70" t="s">
        <v>193</v>
      </c>
      <c r="AX70" t="s">
        <v>193</v>
      </c>
      <c r="AY70" t="s">
        <v>194</v>
      </c>
      <c r="AZ70">
        <v>0.053656388</v>
      </c>
      <c r="BA70">
        <v>0.012017634</v>
      </c>
      <c r="BB70">
        <v>5</v>
      </c>
      <c r="BC70">
        <v>0.014537445</v>
      </c>
      <c r="BD70">
        <v>0.012214644</v>
      </c>
      <c r="BE70">
        <v>5</v>
      </c>
      <c r="BF70">
        <v>0.053480176</v>
      </c>
      <c r="BG70">
        <v>0.066195493</v>
      </c>
      <c r="BH70">
        <v>5</v>
      </c>
      <c r="BI70">
        <v>0.044493392</v>
      </c>
      <c r="BJ70">
        <v>0.029551559</v>
      </c>
      <c r="BK70">
        <v>5</v>
      </c>
      <c r="BL70"/>
      <c r="BM70"/>
      <c r="BN70"/>
      <c r="BO70"/>
      <c r="BP70"/>
      <c r="BQ70"/>
      <c r="BR70"/>
      <c r="BS70"/>
      <c r="BT70"/>
      <c r="BU70"/>
      <c r="BV70"/>
      <c r="BW70"/>
      <c r="BX70"/>
    </row>
    <row r="71" s="1" customFormat="1" ht="15" customHeight="1" spans="1:76">
      <c r="A71">
        <v>25</v>
      </c>
      <c r="B71">
        <v>71</v>
      </c>
      <c r="C71" t="s">
        <v>315</v>
      </c>
      <c r="D71" t="s">
        <v>316</v>
      </c>
      <c r="E71">
        <v>2018</v>
      </c>
      <c r="F71" t="s">
        <v>317</v>
      </c>
      <c r="G71" t="s">
        <v>291</v>
      </c>
      <c r="H71" t="s">
        <v>80</v>
      </c>
      <c r="I71" t="s">
        <v>110</v>
      </c>
      <c r="J71" t="s">
        <v>96</v>
      </c>
      <c r="K71" t="s">
        <v>9</v>
      </c>
      <c r="L71" t="s">
        <v>126</v>
      </c>
      <c r="M71" t="s">
        <v>168</v>
      </c>
      <c r="N71" t="s">
        <v>268</v>
      </c>
      <c r="O71" t="s">
        <v>112</v>
      </c>
      <c r="P71" t="s">
        <v>149</v>
      </c>
      <c r="Q71" t="s">
        <v>210</v>
      </c>
      <c r="R71" t="s">
        <v>103</v>
      </c>
      <c r="S71" t="s">
        <v>104</v>
      </c>
      <c r="T71"/>
      <c r="U71"/>
      <c r="V71"/>
      <c r="W71"/>
      <c r="X71"/>
      <c r="Y71"/>
      <c r="Z71"/>
      <c r="AA71"/>
      <c r="AB71"/>
      <c r="AC71"/>
      <c r="AD71"/>
      <c r="AE71"/>
      <c r="AF71">
        <v>31.21177</v>
      </c>
      <c r="AG71">
        <v>120.136367</v>
      </c>
      <c r="AH71" t="s">
        <v>318</v>
      </c>
      <c r="AI71">
        <v>28</v>
      </c>
      <c r="AJ71">
        <v>500</v>
      </c>
      <c r="AK71" t="s">
        <v>86</v>
      </c>
      <c r="AL71">
        <v>16</v>
      </c>
      <c r="AM71">
        <v>4</v>
      </c>
      <c r="AN71" t="s">
        <v>87</v>
      </c>
      <c r="AO71" t="s">
        <v>262</v>
      </c>
      <c r="AP71" t="s">
        <v>319</v>
      </c>
      <c r="AQ71" t="s">
        <v>185</v>
      </c>
      <c r="AR71" t="s">
        <v>186</v>
      </c>
      <c r="AS71" t="s">
        <v>82</v>
      </c>
      <c r="AT71" t="s">
        <v>212</v>
      </c>
      <c r="AU71" t="s">
        <v>91</v>
      </c>
      <c r="AV71" t="s">
        <v>307</v>
      </c>
      <c r="AW71" t="s">
        <v>93</v>
      </c>
      <c r="AX71" t="s">
        <v>320</v>
      </c>
      <c r="AY71" t="s">
        <v>95</v>
      </c>
      <c r="AZ71">
        <v>18.45724907</v>
      </c>
      <c r="BA71">
        <v>4.014869888</v>
      </c>
      <c r="BB71">
        <v>4</v>
      </c>
      <c r="BC71">
        <v>-5.241635688</v>
      </c>
      <c r="BD71">
        <v>2.17472119</v>
      </c>
      <c r="BE71">
        <v>4</v>
      </c>
      <c r="BF71">
        <v>15.44609665</v>
      </c>
      <c r="BG71">
        <v>4.126394052</v>
      </c>
      <c r="BH71">
        <v>4</v>
      </c>
      <c r="BI71">
        <v>-17.50929368</v>
      </c>
      <c r="BJ71">
        <v>7.472118959</v>
      </c>
      <c r="BK71">
        <v>4</v>
      </c>
      <c r="BL71"/>
      <c r="BM71"/>
      <c r="BN71"/>
      <c r="BO71"/>
      <c r="BP71"/>
      <c r="BQ71"/>
      <c r="BR71"/>
      <c r="BS71"/>
      <c r="BT71"/>
      <c r="BU71"/>
      <c r="BV71"/>
      <c r="BW71"/>
      <c r="BX71"/>
    </row>
    <row r="72" s="1" customFormat="1" ht="15" customHeight="1" spans="1:76">
      <c r="A72">
        <v>25</v>
      </c>
      <c r="B72">
        <v>72</v>
      </c>
      <c r="C72" t="s">
        <v>315</v>
      </c>
      <c r="D72" t="s">
        <v>316</v>
      </c>
      <c r="E72">
        <v>2018</v>
      </c>
      <c r="F72" t="s">
        <v>317</v>
      </c>
      <c r="G72" t="s">
        <v>291</v>
      </c>
      <c r="H72" t="s">
        <v>80</v>
      </c>
      <c r="I72" t="s">
        <v>110</v>
      </c>
      <c r="J72" t="s">
        <v>96</v>
      </c>
      <c r="K72" t="s">
        <v>9</v>
      </c>
      <c r="L72" t="s">
        <v>126</v>
      </c>
      <c r="M72" t="s">
        <v>168</v>
      </c>
      <c r="N72" t="s">
        <v>268</v>
      </c>
      <c r="O72" t="s">
        <v>112</v>
      </c>
      <c r="P72" t="s">
        <v>149</v>
      </c>
      <c r="Q72" t="s">
        <v>210</v>
      </c>
      <c r="R72" t="s">
        <v>103</v>
      </c>
      <c r="S72" t="s">
        <v>104</v>
      </c>
      <c r="T72"/>
      <c r="U72"/>
      <c r="V72"/>
      <c r="W72"/>
      <c r="X72"/>
      <c r="Y72"/>
      <c r="Z72"/>
      <c r="AA72"/>
      <c r="AB72"/>
      <c r="AC72"/>
      <c r="AD72"/>
      <c r="AE72"/>
      <c r="AF72">
        <v>31.21177</v>
      </c>
      <c r="AG72">
        <v>120.136367</v>
      </c>
      <c r="AH72" t="s">
        <v>318</v>
      </c>
      <c r="AI72">
        <v>28</v>
      </c>
      <c r="AJ72">
        <v>500</v>
      </c>
      <c r="AK72" t="s">
        <v>86</v>
      </c>
      <c r="AL72">
        <v>16</v>
      </c>
      <c r="AM72">
        <v>4</v>
      </c>
      <c r="AN72" t="s">
        <v>87</v>
      </c>
      <c r="AO72" t="s">
        <v>262</v>
      </c>
      <c r="AP72" t="s">
        <v>319</v>
      </c>
      <c r="AQ72" t="s">
        <v>89</v>
      </c>
      <c r="AR72" t="s">
        <v>135</v>
      </c>
      <c r="AS72" t="s">
        <v>82</v>
      </c>
      <c r="AT72" t="s">
        <v>321</v>
      </c>
      <c r="AU72" t="s">
        <v>91</v>
      </c>
      <c r="AV72" t="s">
        <v>307</v>
      </c>
      <c r="AW72" t="s">
        <v>93</v>
      </c>
      <c r="AX72" t="s">
        <v>320</v>
      </c>
      <c r="AY72" t="s">
        <v>95</v>
      </c>
      <c r="AZ72">
        <v>28.81533101</v>
      </c>
      <c r="BA72">
        <v>1.289198606</v>
      </c>
      <c r="BB72">
        <v>4</v>
      </c>
      <c r="BC72">
        <v>12.43902439</v>
      </c>
      <c r="BD72">
        <v>4.56445993</v>
      </c>
      <c r="BE72">
        <v>4</v>
      </c>
      <c r="BF72">
        <v>26.48083624</v>
      </c>
      <c r="BG72">
        <v>2.195121951</v>
      </c>
      <c r="BH72">
        <v>4</v>
      </c>
      <c r="BI72">
        <v>5.296167247</v>
      </c>
      <c r="BJ72">
        <v>2.508710801</v>
      </c>
      <c r="BK72">
        <v>4</v>
      </c>
      <c r="BL72"/>
      <c r="BM72"/>
      <c r="BN72"/>
      <c r="BO72"/>
      <c r="BP72"/>
      <c r="BQ72"/>
      <c r="BR72"/>
      <c r="BS72"/>
      <c r="BT72"/>
      <c r="BU72"/>
      <c r="BV72"/>
      <c r="BW72"/>
      <c r="BX72"/>
    </row>
    <row r="73" s="1" customFormat="1" ht="15" customHeight="1" spans="1:76">
      <c r="A73">
        <v>26</v>
      </c>
      <c r="B73">
        <v>73</v>
      </c>
      <c r="C73" t="s">
        <v>322</v>
      </c>
      <c r="D73" t="s">
        <v>323</v>
      </c>
      <c r="E73">
        <v>2017</v>
      </c>
      <c r="F73" t="s">
        <v>324</v>
      </c>
      <c r="G73" t="s">
        <v>253</v>
      </c>
      <c r="H73" t="s">
        <v>198</v>
      </c>
      <c r="I73" t="s">
        <v>325</v>
      </c>
      <c r="J73" t="s">
        <v>96</v>
      </c>
      <c r="K73" t="s">
        <v>9</v>
      </c>
      <c r="L73" t="s">
        <v>126</v>
      </c>
      <c r="M73" t="s">
        <v>242</v>
      </c>
      <c r="N73" t="s">
        <v>326</v>
      </c>
      <c r="O73" t="s">
        <v>112</v>
      </c>
      <c r="P73" t="s">
        <v>149</v>
      </c>
      <c r="Q73" t="s">
        <v>102</v>
      </c>
      <c r="R73" t="s">
        <v>129</v>
      </c>
      <c r="S73" t="s">
        <v>104</v>
      </c>
      <c r="T73">
        <v>0.1</v>
      </c>
      <c r="U73">
        <v>0.104</v>
      </c>
      <c r="V73">
        <v>3.9</v>
      </c>
      <c r="W73"/>
      <c r="X73">
        <v>0.5</v>
      </c>
      <c r="Y73"/>
      <c r="Z73"/>
      <c r="AA73"/>
      <c r="AB73" t="s">
        <v>105</v>
      </c>
      <c r="AC73" t="s">
        <v>105</v>
      </c>
      <c r="AD73"/>
      <c r="AE73"/>
      <c r="AF73">
        <v>51.193772</v>
      </c>
      <c r="AG73">
        <v>6.79148</v>
      </c>
      <c r="AH73" t="s">
        <v>327</v>
      </c>
      <c r="AI73">
        <v>37</v>
      </c>
      <c r="AJ73">
        <v>1.1</v>
      </c>
      <c r="AK73" t="s">
        <v>86</v>
      </c>
      <c r="AL73">
        <v>16</v>
      </c>
      <c r="AM73">
        <v>4</v>
      </c>
      <c r="AN73"/>
      <c r="AO73"/>
      <c r="AP73"/>
      <c r="AQ73" t="s">
        <v>185</v>
      </c>
      <c r="AR73" t="s">
        <v>186</v>
      </c>
      <c r="AS73" t="s">
        <v>82</v>
      </c>
      <c r="AT73" t="s">
        <v>187</v>
      </c>
      <c r="AU73" t="s">
        <v>91</v>
      </c>
      <c r="AV73" t="s">
        <v>255</v>
      </c>
      <c r="AW73" t="s">
        <v>193</v>
      </c>
      <c r="AX73" t="s">
        <v>328</v>
      </c>
      <c r="AY73" t="s">
        <v>194</v>
      </c>
      <c r="AZ73">
        <v>0.022017654</v>
      </c>
      <c r="BA73">
        <v>0.004237074</v>
      </c>
      <c r="BB73">
        <v>4</v>
      </c>
      <c r="BC73">
        <v>0.033669609</v>
      </c>
      <c r="BD73">
        <v>0.004388398</v>
      </c>
      <c r="BE73">
        <v>4</v>
      </c>
      <c r="BF73">
        <v>0.037528373</v>
      </c>
      <c r="BG73">
        <v>0.013467844</v>
      </c>
      <c r="BH73">
        <v>4</v>
      </c>
      <c r="BI73">
        <v>0.037906683</v>
      </c>
      <c r="BJ73">
        <v>0.011197982</v>
      </c>
      <c r="BK73">
        <v>4</v>
      </c>
      <c r="BL73"/>
      <c r="BM73"/>
      <c r="BN73"/>
      <c r="BO73"/>
      <c r="BP73"/>
      <c r="BQ73"/>
      <c r="BR73"/>
      <c r="BS73"/>
      <c r="BT73"/>
      <c r="BU73"/>
      <c r="BV73"/>
      <c r="BW73"/>
      <c r="BX73"/>
    </row>
    <row r="74" s="1" customFormat="1" ht="15" customHeight="1" spans="1:76">
      <c r="A74">
        <v>26</v>
      </c>
      <c r="B74">
        <v>74</v>
      </c>
      <c r="C74" t="s">
        <v>322</v>
      </c>
      <c r="D74" t="s">
        <v>323</v>
      </c>
      <c r="E74">
        <v>2017</v>
      </c>
      <c r="F74" t="s">
        <v>324</v>
      </c>
      <c r="G74" t="s">
        <v>253</v>
      </c>
      <c r="H74" t="s">
        <v>198</v>
      </c>
      <c r="I74" t="s">
        <v>325</v>
      </c>
      <c r="J74" t="s">
        <v>96</v>
      </c>
      <c r="K74" t="s">
        <v>9</v>
      </c>
      <c r="L74" t="s">
        <v>97</v>
      </c>
      <c r="M74" t="s">
        <v>98</v>
      </c>
      <c r="N74" t="s">
        <v>99</v>
      </c>
      <c r="O74" t="s">
        <v>112</v>
      </c>
      <c r="P74" t="s">
        <v>101</v>
      </c>
      <c r="Q74" t="s">
        <v>102</v>
      </c>
      <c r="R74" t="s">
        <v>103</v>
      </c>
      <c r="S74" t="s">
        <v>104</v>
      </c>
      <c r="T74">
        <v>0.1</v>
      </c>
      <c r="U74">
        <v>0.104</v>
      </c>
      <c r="V74">
        <v>3.9</v>
      </c>
      <c r="W74"/>
      <c r="X74">
        <v>0.5</v>
      </c>
      <c r="Y74"/>
      <c r="Z74"/>
      <c r="AA74"/>
      <c r="AB74" t="s">
        <v>105</v>
      </c>
      <c r="AC74" t="s">
        <v>105</v>
      </c>
      <c r="AD74"/>
      <c r="AE74"/>
      <c r="AF74">
        <v>51.193772</v>
      </c>
      <c r="AG74">
        <v>6.79148</v>
      </c>
      <c r="AH74" t="s">
        <v>327</v>
      </c>
      <c r="AI74">
        <v>37</v>
      </c>
      <c r="AJ74">
        <v>1.1</v>
      </c>
      <c r="AK74" t="s">
        <v>86</v>
      </c>
      <c r="AL74">
        <v>16</v>
      </c>
      <c r="AM74">
        <v>4</v>
      </c>
      <c r="AN74"/>
      <c r="AO74"/>
      <c r="AP74"/>
      <c r="AQ74" t="s">
        <v>185</v>
      </c>
      <c r="AR74" t="s">
        <v>186</v>
      </c>
      <c r="AS74" t="s">
        <v>82</v>
      </c>
      <c r="AT74" t="s">
        <v>187</v>
      </c>
      <c r="AU74" t="s">
        <v>91</v>
      </c>
      <c r="AV74" t="s">
        <v>255</v>
      </c>
      <c r="AW74" t="s">
        <v>193</v>
      </c>
      <c r="AX74" t="s">
        <v>328</v>
      </c>
      <c r="AY74" t="s">
        <v>194</v>
      </c>
      <c r="AZ74">
        <v>0.037670886</v>
      </c>
      <c r="BA74">
        <v>0.00364557</v>
      </c>
      <c r="BB74">
        <v>4</v>
      </c>
      <c r="BC74">
        <v>0.035088608</v>
      </c>
      <c r="BD74">
        <v>0.003797468</v>
      </c>
      <c r="BE74">
        <v>4</v>
      </c>
      <c r="BF74">
        <v>0.034556962</v>
      </c>
      <c r="BG74">
        <v>0.004556962</v>
      </c>
      <c r="BH74">
        <v>4</v>
      </c>
      <c r="BI74">
        <v>0.045797468</v>
      </c>
      <c r="BJ74">
        <v>0.008202532</v>
      </c>
      <c r="BK74">
        <v>4</v>
      </c>
      <c r="BL74"/>
      <c r="BM74"/>
      <c r="BN74"/>
      <c r="BO74"/>
      <c r="BP74"/>
      <c r="BQ74"/>
      <c r="BR74"/>
      <c r="BS74"/>
      <c r="BT74"/>
      <c r="BU74"/>
      <c r="BV74"/>
      <c r="BW74"/>
      <c r="BX74"/>
    </row>
    <row r="75" s="1" customFormat="1" ht="15" customHeight="1" spans="1:76">
      <c r="A75">
        <v>26</v>
      </c>
      <c r="B75">
        <v>75</v>
      </c>
      <c r="C75" t="s">
        <v>322</v>
      </c>
      <c r="D75" t="s">
        <v>323</v>
      </c>
      <c r="E75">
        <v>2017</v>
      </c>
      <c r="F75" t="s">
        <v>324</v>
      </c>
      <c r="G75" t="s">
        <v>253</v>
      </c>
      <c r="H75" t="s">
        <v>198</v>
      </c>
      <c r="I75" t="s">
        <v>325</v>
      </c>
      <c r="J75" t="s">
        <v>96</v>
      </c>
      <c r="K75" t="s">
        <v>9</v>
      </c>
      <c r="L75" t="s">
        <v>97</v>
      </c>
      <c r="M75" t="s">
        <v>98</v>
      </c>
      <c r="N75" t="s">
        <v>329</v>
      </c>
      <c r="O75" t="s">
        <v>112</v>
      </c>
      <c r="P75" t="s">
        <v>149</v>
      </c>
      <c r="Q75" t="s">
        <v>102</v>
      </c>
      <c r="R75" t="s">
        <v>103</v>
      </c>
      <c r="S75" t="s">
        <v>104</v>
      </c>
      <c r="T75">
        <v>0.1</v>
      </c>
      <c r="U75">
        <v>0.104</v>
      </c>
      <c r="V75">
        <v>3.9</v>
      </c>
      <c r="W75"/>
      <c r="X75">
        <v>0.5</v>
      </c>
      <c r="Y75"/>
      <c r="Z75"/>
      <c r="AA75"/>
      <c r="AB75" t="s">
        <v>105</v>
      </c>
      <c r="AC75" t="s">
        <v>105</v>
      </c>
      <c r="AD75"/>
      <c r="AE75"/>
      <c r="AF75">
        <v>51.193772</v>
      </c>
      <c r="AG75">
        <v>6.79148</v>
      </c>
      <c r="AH75" t="s">
        <v>327</v>
      </c>
      <c r="AI75">
        <v>37</v>
      </c>
      <c r="AJ75">
        <v>1.1</v>
      </c>
      <c r="AK75" t="s">
        <v>86</v>
      </c>
      <c r="AL75">
        <v>16</v>
      </c>
      <c r="AM75">
        <v>4</v>
      </c>
      <c r="AN75"/>
      <c r="AO75"/>
      <c r="AP75"/>
      <c r="AQ75" t="s">
        <v>185</v>
      </c>
      <c r="AR75" t="s">
        <v>186</v>
      </c>
      <c r="AS75" t="s">
        <v>82</v>
      </c>
      <c r="AT75" t="s">
        <v>187</v>
      </c>
      <c r="AU75" t="s">
        <v>91</v>
      </c>
      <c r="AV75" t="s">
        <v>255</v>
      </c>
      <c r="AW75" t="s">
        <v>193</v>
      </c>
      <c r="AX75" t="s">
        <v>328</v>
      </c>
      <c r="AY75" t="s">
        <v>194</v>
      </c>
      <c r="AZ75">
        <v>0.019924528</v>
      </c>
      <c r="BA75">
        <v>0.003773585</v>
      </c>
      <c r="BB75">
        <v>4</v>
      </c>
      <c r="BC75">
        <v>0.014264151</v>
      </c>
      <c r="BD75">
        <v>0.003622642</v>
      </c>
      <c r="BE75">
        <v>4</v>
      </c>
      <c r="BF75">
        <v>0.034188679</v>
      </c>
      <c r="BG75">
        <v>0.009509434</v>
      </c>
      <c r="BH75">
        <v>4</v>
      </c>
      <c r="BI75">
        <v>0.03154717</v>
      </c>
      <c r="BJ75">
        <v>0.006792453</v>
      </c>
      <c r="BK75">
        <v>4</v>
      </c>
      <c r="BL75"/>
      <c r="BM75"/>
      <c r="BN75"/>
      <c r="BO75"/>
      <c r="BP75"/>
      <c r="BQ75"/>
      <c r="BR75"/>
      <c r="BS75"/>
      <c r="BT75"/>
      <c r="BU75"/>
      <c r="BV75"/>
      <c r="BW75"/>
      <c r="BX75"/>
    </row>
    <row r="76" s="1" customFormat="1" ht="15" customHeight="1" spans="1:76">
      <c r="A76">
        <v>26</v>
      </c>
      <c r="B76">
        <v>76</v>
      </c>
      <c r="C76" t="s">
        <v>322</v>
      </c>
      <c r="D76" t="s">
        <v>323</v>
      </c>
      <c r="E76">
        <v>2017</v>
      </c>
      <c r="F76" t="s">
        <v>324</v>
      </c>
      <c r="G76" t="s">
        <v>253</v>
      </c>
      <c r="H76" t="s">
        <v>198</v>
      </c>
      <c r="I76" t="s">
        <v>325</v>
      </c>
      <c r="J76" t="s">
        <v>96</v>
      </c>
      <c r="K76" t="s">
        <v>9</v>
      </c>
      <c r="L76" t="s">
        <v>146</v>
      </c>
      <c r="M76" t="s">
        <v>147</v>
      </c>
      <c r="N76" t="s">
        <v>148</v>
      </c>
      <c r="O76" t="s">
        <v>112</v>
      </c>
      <c r="P76" t="s">
        <v>149</v>
      </c>
      <c r="Q76" t="s">
        <v>102</v>
      </c>
      <c r="R76" t="s">
        <v>103</v>
      </c>
      <c r="S76" t="s">
        <v>104</v>
      </c>
      <c r="T76">
        <v>0.1</v>
      </c>
      <c r="U76">
        <v>0.104</v>
      </c>
      <c r="V76">
        <v>3.9</v>
      </c>
      <c r="W76"/>
      <c r="X76">
        <v>0.5</v>
      </c>
      <c r="Y76"/>
      <c r="Z76"/>
      <c r="AA76"/>
      <c r="AB76" t="s">
        <v>105</v>
      </c>
      <c r="AC76" t="s">
        <v>105</v>
      </c>
      <c r="AD76"/>
      <c r="AE76"/>
      <c r="AF76">
        <v>51.193772</v>
      </c>
      <c r="AG76">
        <v>6.79148</v>
      </c>
      <c r="AH76" t="s">
        <v>327</v>
      </c>
      <c r="AI76">
        <v>37</v>
      </c>
      <c r="AJ76">
        <v>1.1</v>
      </c>
      <c r="AK76" t="s">
        <v>86</v>
      </c>
      <c r="AL76">
        <v>16</v>
      </c>
      <c r="AM76">
        <v>4</v>
      </c>
      <c r="AN76"/>
      <c r="AO76"/>
      <c r="AP76"/>
      <c r="AQ76" t="s">
        <v>185</v>
      </c>
      <c r="AR76" t="s">
        <v>186</v>
      </c>
      <c r="AS76" t="s">
        <v>82</v>
      </c>
      <c r="AT76" t="s">
        <v>187</v>
      </c>
      <c r="AU76" t="s">
        <v>91</v>
      </c>
      <c r="AV76" t="s">
        <v>255</v>
      </c>
      <c r="AW76" t="s">
        <v>193</v>
      </c>
      <c r="AX76" t="s">
        <v>328</v>
      </c>
      <c r="AY76" t="s">
        <v>194</v>
      </c>
      <c r="AZ76">
        <v>0.025586035</v>
      </c>
      <c r="BA76">
        <v>0.003740648</v>
      </c>
      <c r="BB76">
        <v>4</v>
      </c>
      <c r="BC76">
        <v>0.021246883</v>
      </c>
      <c r="BD76">
        <v>0.0040399</v>
      </c>
      <c r="BE76">
        <v>4</v>
      </c>
      <c r="BF76">
        <v>0.03127182</v>
      </c>
      <c r="BG76">
        <v>0.005985037</v>
      </c>
      <c r="BH76">
        <v>4</v>
      </c>
      <c r="BI76">
        <v>0.030299252</v>
      </c>
      <c r="BJ76">
        <v>0.006284289</v>
      </c>
      <c r="BK76">
        <v>4</v>
      </c>
      <c r="BL76"/>
      <c r="BM76"/>
      <c r="BN76"/>
      <c r="BO76"/>
      <c r="BP76"/>
      <c r="BQ76"/>
      <c r="BR76"/>
      <c r="BS76"/>
      <c r="BT76"/>
      <c r="BU76"/>
      <c r="BV76"/>
      <c r="BW76"/>
      <c r="BX76"/>
    </row>
    <row r="77" s="1" customFormat="1" ht="15" customHeight="1" spans="1:76">
      <c r="A77">
        <v>27</v>
      </c>
      <c r="B77">
        <v>77</v>
      </c>
      <c r="C77" t="s">
        <v>330</v>
      </c>
      <c r="D77" t="s">
        <v>331</v>
      </c>
      <c r="E77">
        <v>2016</v>
      </c>
      <c r="F77" t="s">
        <v>332</v>
      </c>
      <c r="G77" t="s">
        <v>125</v>
      </c>
      <c r="H77" t="s">
        <v>198</v>
      </c>
      <c r="I77" t="s">
        <v>333</v>
      </c>
      <c r="J77" t="s">
        <v>96</v>
      </c>
      <c r="K77" t="s">
        <v>9</v>
      </c>
      <c r="L77" t="s">
        <v>97</v>
      </c>
      <c r="M77" t="s">
        <v>98</v>
      </c>
      <c r="N77" t="s">
        <v>99</v>
      </c>
      <c r="O77" t="s">
        <v>112</v>
      </c>
      <c r="P77" t="s">
        <v>101</v>
      </c>
      <c r="Q77" t="s">
        <v>102</v>
      </c>
      <c r="R77" t="s">
        <v>103</v>
      </c>
      <c r="S77" t="s">
        <v>104</v>
      </c>
      <c r="T77"/>
      <c r="U77">
        <v>0.002</v>
      </c>
      <c r="V77"/>
      <c r="W77"/>
      <c r="X77">
        <v>0.081</v>
      </c>
      <c r="Y77"/>
      <c r="Z77">
        <v>22</v>
      </c>
      <c r="AA77"/>
      <c r="AB77" t="s">
        <v>105</v>
      </c>
      <c r="AC77" t="s">
        <v>105</v>
      </c>
      <c r="AD77"/>
      <c r="AE77"/>
      <c r="AF77">
        <v>48.696213</v>
      </c>
      <c r="AG77">
        <v>6.176728</v>
      </c>
      <c r="AH77" t="s">
        <v>334</v>
      </c>
      <c r="AI77">
        <v>14</v>
      </c>
      <c r="AJ77">
        <v>2.5</v>
      </c>
      <c r="AK77" t="s">
        <v>86</v>
      </c>
      <c r="AL77">
        <v>32</v>
      </c>
      <c r="AM77">
        <v>4</v>
      </c>
      <c r="AN77"/>
      <c r="AO77"/>
      <c r="AP77"/>
      <c r="AQ77" t="s">
        <v>185</v>
      </c>
      <c r="AR77" t="s">
        <v>186</v>
      </c>
      <c r="AS77" t="s">
        <v>82</v>
      </c>
      <c r="AT77" t="s">
        <v>187</v>
      </c>
      <c r="AU77" t="s">
        <v>230</v>
      </c>
      <c r="AV77" t="s">
        <v>335</v>
      </c>
      <c r="AW77" t="s">
        <v>193</v>
      </c>
      <c r="AX77" t="s">
        <v>193</v>
      </c>
      <c r="AY77" t="s">
        <v>232</v>
      </c>
      <c r="AZ77">
        <v>0.057095436</v>
      </c>
      <c r="BA77">
        <v>0.017261411</v>
      </c>
      <c r="BB77">
        <v>4</v>
      </c>
      <c r="BC77">
        <v>0.026887967</v>
      </c>
      <c r="BD77">
        <v>0.042821577</v>
      </c>
      <c r="BE77">
        <v>4</v>
      </c>
      <c r="BF77">
        <v>0.066556017</v>
      </c>
      <c r="BG77">
        <v>0.029875519</v>
      </c>
      <c r="BH77">
        <v>4</v>
      </c>
      <c r="BI77">
        <v>0.03253112</v>
      </c>
      <c r="BJ77">
        <v>0.017593361</v>
      </c>
      <c r="BK77">
        <v>4</v>
      </c>
      <c r="BL77"/>
      <c r="BM77"/>
      <c r="BN77"/>
      <c r="BO77"/>
      <c r="BP77"/>
      <c r="BQ77"/>
      <c r="BR77"/>
      <c r="BS77"/>
      <c r="BT77"/>
      <c r="BU77"/>
      <c r="BV77"/>
      <c r="BW77"/>
      <c r="BX77"/>
    </row>
    <row r="78" s="1" customFormat="1" ht="15" customHeight="1" spans="1:76">
      <c r="A78">
        <v>27</v>
      </c>
      <c r="B78">
        <v>78</v>
      </c>
      <c r="C78" t="s">
        <v>330</v>
      </c>
      <c r="D78" t="s">
        <v>331</v>
      </c>
      <c r="E78">
        <v>2016</v>
      </c>
      <c r="F78" t="s">
        <v>332</v>
      </c>
      <c r="G78" t="s">
        <v>125</v>
      </c>
      <c r="H78" t="s">
        <v>198</v>
      </c>
      <c r="I78" t="s">
        <v>333</v>
      </c>
      <c r="J78" t="s">
        <v>96</v>
      </c>
      <c r="K78" t="s">
        <v>9</v>
      </c>
      <c r="L78" t="s">
        <v>97</v>
      </c>
      <c r="M78" t="s">
        <v>98</v>
      </c>
      <c r="N78" t="s">
        <v>99</v>
      </c>
      <c r="O78" t="s">
        <v>112</v>
      </c>
      <c r="P78" t="s">
        <v>101</v>
      </c>
      <c r="Q78" t="s">
        <v>102</v>
      </c>
      <c r="R78" t="s">
        <v>103</v>
      </c>
      <c r="S78" t="s">
        <v>104</v>
      </c>
      <c r="T78"/>
      <c r="U78">
        <v>0.002</v>
      </c>
      <c r="V78"/>
      <c r="W78"/>
      <c r="X78">
        <v>0.081</v>
      </c>
      <c r="Y78"/>
      <c r="Z78">
        <v>22</v>
      </c>
      <c r="AA78"/>
      <c r="AB78" t="s">
        <v>105</v>
      </c>
      <c r="AC78" t="s">
        <v>105</v>
      </c>
      <c r="AD78"/>
      <c r="AE78"/>
      <c r="AF78">
        <v>48.696213</v>
      </c>
      <c r="AG78">
        <v>6.176728</v>
      </c>
      <c r="AH78" t="s">
        <v>334</v>
      </c>
      <c r="AI78">
        <v>14</v>
      </c>
      <c r="AJ78">
        <v>2.5</v>
      </c>
      <c r="AK78" t="s">
        <v>86</v>
      </c>
      <c r="AL78">
        <v>32</v>
      </c>
      <c r="AM78">
        <v>4</v>
      </c>
      <c r="AN78"/>
      <c r="AO78"/>
      <c r="AP78"/>
      <c r="AQ78" t="s">
        <v>185</v>
      </c>
      <c r="AR78" t="s">
        <v>186</v>
      </c>
      <c r="AS78" t="s">
        <v>82</v>
      </c>
      <c r="AT78" t="s">
        <v>336</v>
      </c>
      <c r="AU78" t="s">
        <v>230</v>
      </c>
      <c r="AV78" t="s">
        <v>335</v>
      </c>
      <c r="AW78" t="s">
        <v>193</v>
      </c>
      <c r="AX78" t="s">
        <v>193</v>
      </c>
      <c r="AY78" t="s">
        <v>232</v>
      </c>
      <c r="AZ78">
        <v>0.054492754</v>
      </c>
      <c r="BA78">
        <v>0.015569358</v>
      </c>
      <c r="BB78">
        <v>4</v>
      </c>
      <c r="BC78">
        <v>0.017722567</v>
      </c>
      <c r="BD78">
        <v>0.017556936</v>
      </c>
      <c r="BE78">
        <v>4</v>
      </c>
      <c r="BF78">
        <v>0.062939959</v>
      </c>
      <c r="BG78">
        <v>0.04173913</v>
      </c>
      <c r="BH78">
        <v>4</v>
      </c>
      <c r="BI78">
        <v>0.014078675</v>
      </c>
      <c r="BJ78">
        <v>0.012919255</v>
      </c>
      <c r="BK78">
        <v>4</v>
      </c>
      <c r="BL78"/>
      <c r="BM78"/>
      <c r="BN78"/>
      <c r="BO78"/>
      <c r="BP78"/>
      <c r="BQ78"/>
      <c r="BR78"/>
      <c r="BS78"/>
      <c r="BT78"/>
      <c r="BU78"/>
      <c r="BV78"/>
      <c r="BW78"/>
      <c r="BX78"/>
    </row>
    <row r="79" s="1" customFormat="1" ht="15" customHeight="1" spans="1:76">
      <c r="A79">
        <v>29</v>
      </c>
      <c r="B79">
        <v>82</v>
      </c>
      <c r="C79" t="s">
        <v>337</v>
      </c>
      <c r="D79" t="s">
        <v>338</v>
      </c>
      <c r="E79">
        <v>1994</v>
      </c>
      <c r="F79" t="s">
        <v>339</v>
      </c>
      <c r="G79" t="s">
        <v>340</v>
      </c>
      <c r="H79" t="s">
        <v>198</v>
      </c>
      <c r="I79" t="s">
        <v>341</v>
      </c>
      <c r="J79" t="s">
        <v>96</v>
      </c>
      <c r="K79" t="s">
        <v>9</v>
      </c>
      <c r="L79" t="s">
        <v>126</v>
      </c>
      <c r="M79" t="s">
        <v>242</v>
      </c>
      <c r="N79" t="s">
        <v>243</v>
      </c>
      <c r="O79" t="s">
        <v>112</v>
      </c>
      <c r="P79" t="s">
        <v>149</v>
      </c>
      <c r="Q79" t="s">
        <v>102</v>
      </c>
      <c r="R79" t="s">
        <v>103</v>
      </c>
      <c r="S79" t="s">
        <v>104</v>
      </c>
      <c r="T79"/>
      <c r="U79"/>
      <c r="V79"/>
      <c r="W79"/>
      <c r="X79"/>
      <c r="Y79"/>
      <c r="Z79">
        <v>8</v>
      </c>
      <c r="AA79"/>
      <c r="AB79" t="s">
        <v>105</v>
      </c>
      <c r="AC79" t="s">
        <v>105</v>
      </c>
      <c r="AD79"/>
      <c r="AE79"/>
      <c r="AF79">
        <v>55.9396905</v>
      </c>
      <c r="AG79">
        <v>9.3180562</v>
      </c>
      <c r="AH79" t="s">
        <v>342</v>
      </c>
      <c r="AI79">
        <v>24.5</v>
      </c>
      <c r="AJ79">
        <v>5</v>
      </c>
      <c r="AK79" t="s">
        <v>86</v>
      </c>
      <c r="AL79">
        <v>60</v>
      </c>
      <c r="AM79">
        <v>3</v>
      </c>
      <c r="AN79"/>
      <c r="AO79"/>
      <c r="AP79"/>
      <c r="AQ79" t="s">
        <v>185</v>
      </c>
      <c r="AR79" t="s">
        <v>186</v>
      </c>
      <c r="AS79" t="s">
        <v>82</v>
      </c>
      <c r="AT79" t="s">
        <v>343</v>
      </c>
      <c r="AU79" t="s">
        <v>119</v>
      </c>
      <c r="AV79" t="s">
        <v>344</v>
      </c>
      <c r="AW79" t="s">
        <v>193</v>
      </c>
      <c r="AX79" t="s">
        <v>328</v>
      </c>
      <c r="AY79" t="s">
        <v>201</v>
      </c>
      <c r="AZ79">
        <v>16.4318389752973</v>
      </c>
      <c r="BA79">
        <f>(14^(1/2))*(18.8838060384263-14.0896614821591)/1.96</f>
        <v>9.15206448582615</v>
      </c>
      <c r="BB79">
        <v>14</v>
      </c>
      <c r="BC79">
        <v>2.12259835315644</v>
      </c>
      <c r="BD79">
        <f>(14^(1/2))*(2.74473924977126-1.5736505032022)/1.96</f>
        <v>2.23561880569794</v>
      </c>
      <c r="BE79">
        <v>14</v>
      </c>
      <c r="BF79">
        <v>33.7785910338517</v>
      </c>
      <c r="BG79">
        <f>(14^(1/2))*(35.8279963403476-31.7657822506861)/1.96</f>
        <v>7.75480273226487</v>
      </c>
      <c r="BH79">
        <v>14</v>
      </c>
      <c r="BI79">
        <v>22.1043000914913</v>
      </c>
      <c r="BJ79">
        <f>(14^(1/2))*(23.494967978042-20.8234217749313)/1.96</f>
        <v>5.10000540049848</v>
      </c>
      <c r="BK79">
        <v>14</v>
      </c>
      <c r="BL79"/>
      <c r="BM79"/>
      <c r="BN79"/>
      <c r="BO79"/>
      <c r="BP79"/>
      <c r="BQ79"/>
      <c r="BR79"/>
      <c r="BS79"/>
      <c r="BT79"/>
      <c r="BU79"/>
      <c r="BV79"/>
      <c r="BW79"/>
      <c r="BX79"/>
    </row>
    <row r="80" s="1" customFormat="1" ht="15" customHeight="1" spans="1:76">
      <c r="A80">
        <v>29</v>
      </c>
      <c r="B80">
        <v>83</v>
      </c>
      <c r="C80" t="s">
        <v>337</v>
      </c>
      <c r="D80" t="s">
        <v>338</v>
      </c>
      <c r="E80">
        <v>1994</v>
      </c>
      <c r="F80" t="s">
        <v>339</v>
      </c>
      <c r="G80" t="s">
        <v>340</v>
      </c>
      <c r="H80" t="s">
        <v>198</v>
      </c>
      <c r="I80" t="s">
        <v>341</v>
      </c>
      <c r="J80" t="s">
        <v>96</v>
      </c>
      <c r="K80" t="s">
        <v>9</v>
      </c>
      <c r="L80" t="s">
        <v>345</v>
      </c>
      <c r="M80" t="s">
        <v>346</v>
      </c>
      <c r="N80" t="s">
        <v>347</v>
      </c>
      <c r="O80" t="s">
        <v>112</v>
      </c>
      <c r="P80" t="s">
        <v>149</v>
      </c>
      <c r="Q80" t="s">
        <v>102</v>
      </c>
      <c r="R80" t="s">
        <v>103</v>
      </c>
      <c r="S80" t="s">
        <v>248</v>
      </c>
      <c r="T80"/>
      <c r="U80"/>
      <c r="V80"/>
      <c r="W80"/>
      <c r="X80"/>
      <c r="Y80"/>
      <c r="Z80">
        <v>8</v>
      </c>
      <c r="AA80"/>
      <c r="AB80" t="s">
        <v>105</v>
      </c>
      <c r="AC80" t="s">
        <v>105</v>
      </c>
      <c r="AD80"/>
      <c r="AE80"/>
      <c r="AF80">
        <v>55.9396905</v>
      </c>
      <c r="AG80">
        <v>9.3180562</v>
      </c>
      <c r="AH80" t="s">
        <v>342</v>
      </c>
      <c r="AI80">
        <v>24.5</v>
      </c>
      <c r="AJ80">
        <v>5</v>
      </c>
      <c r="AK80" t="s">
        <v>86</v>
      </c>
      <c r="AL80">
        <v>60</v>
      </c>
      <c r="AM80">
        <v>3</v>
      </c>
      <c r="AN80"/>
      <c r="AO80"/>
      <c r="AP80"/>
      <c r="AQ80" t="s">
        <v>185</v>
      </c>
      <c r="AR80" t="s">
        <v>186</v>
      </c>
      <c r="AS80" t="s">
        <v>82</v>
      </c>
      <c r="AT80" t="s">
        <v>348</v>
      </c>
      <c r="AU80" t="s">
        <v>119</v>
      </c>
      <c r="AV80" t="s">
        <v>344</v>
      </c>
      <c r="AW80" t="s">
        <v>193</v>
      </c>
      <c r="AX80" t="s">
        <v>328</v>
      </c>
      <c r="AY80" t="s">
        <v>201</v>
      </c>
      <c r="AZ80">
        <v>30.4174228675136</v>
      </c>
      <c r="BA80">
        <f>((34.3375680580762-26.7150635208711)/1.96)*(14^(1/2))</f>
        <v>14.5514287792609</v>
      </c>
      <c r="BB80">
        <v>14</v>
      </c>
      <c r="BC80">
        <v>23.8112522686025</v>
      </c>
      <c r="BD80">
        <f>(14^(1/2))*(26.3520871143375-21.0526315789473)/1.96</f>
        <v>10.1167076274861</v>
      </c>
      <c r="BE80">
        <v>14</v>
      </c>
      <c r="BF80">
        <v>70.7078039927404</v>
      </c>
      <c r="BG80">
        <f>(14^(1/2))*(74.5553539019963-66.7876588021778)/1.96</f>
        <v>14.8285988512467</v>
      </c>
      <c r="BH80">
        <v>14</v>
      </c>
      <c r="BI80">
        <v>57.9310344827586</v>
      </c>
      <c r="BJ80">
        <f>(14^(1/2))*(63.8838475499092-52.1960072595281)/1.96</f>
        <v>22.3121907948666</v>
      </c>
      <c r="BK80">
        <v>14</v>
      </c>
      <c r="BL80"/>
      <c r="BM80"/>
      <c r="BN80"/>
      <c r="BO80"/>
      <c r="BP80"/>
      <c r="BQ80"/>
      <c r="BR80"/>
      <c r="BS80"/>
      <c r="BT80"/>
      <c r="BU80"/>
      <c r="BV80"/>
      <c r="BW80"/>
      <c r="BX80"/>
    </row>
    <row r="81" s="1" customFormat="1" ht="15" customHeight="1" spans="1:76">
      <c r="A81">
        <v>30</v>
      </c>
      <c r="B81">
        <v>84</v>
      </c>
      <c r="C81" t="s">
        <v>349</v>
      </c>
      <c r="D81" t="s">
        <v>350</v>
      </c>
      <c r="E81">
        <v>1996</v>
      </c>
      <c r="F81" t="s">
        <v>351</v>
      </c>
      <c r="G81" t="s">
        <v>253</v>
      </c>
      <c r="H81" t="s">
        <v>198</v>
      </c>
      <c r="I81" t="s">
        <v>81</v>
      </c>
      <c r="J81" t="s">
        <v>96</v>
      </c>
      <c r="K81" t="s">
        <v>9</v>
      </c>
      <c r="L81" t="s">
        <v>126</v>
      </c>
      <c r="M81" t="s">
        <v>168</v>
      </c>
      <c r="N81" t="s">
        <v>202</v>
      </c>
      <c r="O81" t="s">
        <v>112</v>
      </c>
      <c r="P81" t="s">
        <v>149</v>
      </c>
      <c r="Q81" t="s">
        <v>102</v>
      </c>
      <c r="R81" t="s">
        <v>129</v>
      </c>
      <c r="S81" t="s">
        <v>104</v>
      </c>
      <c r="T81"/>
      <c r="U81">
        <v>1.99</v>
      </c>
      <c r="V81"/>
      <c r="W81">
        <f>10.42-1.99</f>
        <v>8.43</v>
      </c>
      <c r="X81">
        <v>0.00036</v>
      </c>
      <c r="Y81"/>
      <c r="Z81"/>
      <c r="AA81"/>
      <c r="AB81" t="s">
        <v>105</v>
      </c>
      <c r="AC81" t="s">
        <v>105</v>
      </c>
      <c r="AD81">
        <v>7.3</v>
      </c>
      <c r="AE81"/>
      <c r="AF81">
        <v>42.0877998</v>
      </c>
      <c r="AG81">
        <v>-75.9706607</v>
      </c>
      <c r="AH81" t="s">
        <v>199</v>
      </c>
      <c r="AI81">
        <v>56</v>
      </c>
      <c r="AJ81">
        <v>1200</v>
      </c>
      <c r="AK81" t="s">
        <v>86</v>
      </c>
      <c r="AL81">
        <v>32</v>
      </c>
      <c r="AM81">
        <v>4</v>
      </c>
      <c r="AN81" t="s">
        <v>270</v>
      </c>
      <c r="AO81" t="s">
        <v>131</v>
      </c>
      <c r="AP81"/>
      <c r="AQ81" t="s">
        <v>89</v>
      </c>
      <c r="AR81" t="s">
        <v>352</v>
      </c>
      <c r="AS81" t="s">
        <v>82</v>
      </c>
      <c r="AT81" t="s">
        <v>90</v>
      </c>
      <c r="AU81" t="s">
        <v>91</v>
      </c>
      <c r="AV81" t="s">
        <v>256</v>
      </c>
      <c r="AW81" t="s">
        <v>230</v>
      </c>
      <c r="AX81" t="s">
        <v>231</v>
      </c>
      <c r="AY81" t="s">
        <v>353</v>
      </c>
      <c r="AZ81">
        <v>0.888888889</v>
      </c>
      <c r="BA81">
        <v>0.212560386</v>
      </c>
      <c r="BB81">
        <v>14</v>
      </c>
      <c r="BC81">
        <v>3.381642512</v>
      </c>
      <c r="BD81">
        <v>0.483091787</v>
      </c>
      <c r="BE81">
        <v>14</v>
      </c>
      <c r="BF81">
        <v>0.328502415</v>
      </c>
      <c r="BG81">
        <v>0.115942029</v>
      </c>
      <c r="BH81">
        <v>26</v>
      </c>
      <c r="BI81">
        <v>0.541062802</v>
      </c>
      <c r="BJ81">
        <v>0.154589372</v>
      </c>
      <c r="BK81">
        <v>26</v>
      </c>
      <c r="BL81"/>
      <c r="BM81"/>
      <c r="BN81"/>
      <c r="BO81"/>
      <c r="BP81"/>
      <c r="BQ81"/>
      <c r="BR81"/>
      <c r="BS81"/>
      <c r="BT81"/>
      <c r="BU81"/>
      <c r="BV81"/>
      <c r="BW81"/>
      <c r="BX81"/>
    </row>
    <row r="82" s="1" customFormat="1" ht="15" customHeight="1" spans="1:76">
      <c r="A82">
        <v>30</v>
      </c>
      <c r="B82">
        <v>85</v>
      </c>
      <c r="C82" t="s">
        <v>349</v>
      </c>
      <c r="D82" t="s">
        <v>350</v>
      </c>
      <c r="E82">
        <v>1996</v>
      </c>
      <c r="F82" t="s">
        <v>351</v>
      </c>
      <c r="G82" t="s">
        <v>253</v>
      </c>
      <c r="H82" t="s">
        <v>198</v>
      </c>
      <c r="I82" t="s">
        <v>81</v>
      </c>
      <c r="J82" t="s">
        <v>96</v>
      </c>
      <c r="K82" t="s">
        <v>9</v>
      </c>
      <c r="L82" t="s">
        <v>126</v>
      </c>
      <c r="M82" t="s">
        <v>168</v>
      </c>
      <c r="N82" t="s">
        <v>202</v>
      </c>
      <c r="O82" t="s">
        <v>112</v>
      </c>
      <c r="P82" t="s">
        <v>149</v>
      </c>
      <c r="Q82" t="s">
        <v>102</v>
      </c>
      <c r="R82" t="s">
        <v>129</v>
      </c>
      <c r="S82" t="s">
        <v>104</v>
      </c>
      <c r="T82"/>
      <c r="U82">
        <v>1.99</v>
      </c>
      <c r="V82"/>
      <c r="W82">
        <f>10.42-1.99</f>
        <v>8.43</v>
      </c>
      <c r="X82">
        <v>0.00036</v>
      </c>
      <c r="Y82"/>
      <c r="Z82"/>
      <c r="AA82"/>
      <c r="AB82" t="s">
        <v>105</v>
      </c>
      <c r="AC82" t="s">
        <v>105</v>
      </c>
      <c r="AD82">
        <v>5</v>
      </c>
      <c r="AE82"/>
      <c r="AF82">
        <v>42.0877998</v>
      </c>
      <c r="AG82">
        <v>-75.9706607</v>
      </c>
      <c r="AH82" t="s">
        <v>199</v>
      </c>
      <c r="AI82">
        <v>56</v>
      </c>
      <c r="AJ82">
        <v>1200</v>
      </c>
      <c r="AK82" t="s">
        <v>86</v>
      </c>
      <c r="AL82">
        <v>32</v>
      </c>
      <c r="AM82">
        <v>4</v>
      </c>
      <c r="AN82" t="s">
        <v>270</v>
      </c>
      <c r="AO82" t="s">
        <v>131</v>
      </c>
      <c r="AP82"/>
      <c r="AQ82" t="s">
        <v>89</v>
      </c>
      <c r="AR82" t="s">
        <v>352</v>
      </c>
      <c r="AS82" t="s">
        <v>82</v>
      </c>
      <c r="AT82" t="s">
        <v>90</v>
      </c>
      <c r="AU82" t="s">
        <v>91</v>
      </c>
      <c r="AV82" t="s">
        <v>256</v>
      </c>
      <c r="AW82" t="s">
        <v>193</v>
      </c>
      <c r="AX82" t="s">
        <v>193</v>
      </c>
      <c r="AY82" t="s">
        <v>194</v>
      </c>
      <c r="AZ82">
        <v>0.87378640776699</v>
      </c>
      <c r="BA82">
        <f>1.08737864077669-0.87378640776699</f>
        <v>0.2135922330097</v>
      </c>
      <c r="BB82">
        <v>26</v>
      </c>
      <c r="BC82">
        <v>3.34951456310679</v>
      </c>
      <c r="BD82">
        <f>3.86407766990291-3.34951456310679</f>
        <v>0.51456310679612</v>
      </c>
      <c r="BE82">
        <v>26</v>
      </c>
      <c r="BF82">
        <v>1.40776699029126</v>
      </c>
      <c r="BG82">
        <f>1.6504854368932-1.40776699029126</f>
        <v>0.24271844660194</v>
      </c>
      <c r="BH82">
        <v>26</v>
      </c>
      <c r="BI82">
        <v>6.66019417475728</v>
      </c>
      <c r="BJ82">
        <f>7.59223300970873-6.66019417475728</f>
        <v>0.93203883495145</v>
      </c>
      <c r="BK82">
        <v>20</v>
      </c>
      <c r="BL82"/>
      <c r="BM82"/>
      <c r="BN82"/>
      <c r="BO82"/>
      <c r="BP82"/>
      <c r="BQ82"/>
      <c r="BR82"/>
      <c r="BS82"/>
      <c r="BT82"/>
      <c r="BU82"/>
      <c r="BV82"/>
      <c r="BW82"/>
      <c r="BX82"/>
    </row>
    <row r="83" s="1" customFormat="1" ht="15" customHeight="1" spans="1:76">
      <c r="A83">
        <v>30</v>
      </c>
      <c r="B83">
        <v>86</v>
      </c>
      <c r="C83" t="s">
        <v>349</v>
      </c>
      <c r="D83" t="s">
        <v>350</v>
      </c>
      <c r="E83">
        <v>1996</v>
      </c>
      <c r="F83" t="s">
        <v>351</v>
      </c>
      <c r="G83" t="s">
        <v>253</v>
      </c>
      <c r="H83" t="s">
        <v>198</v>
      </c>
      <c r="I83" t="s">
        <v>81</v>
      </c>
      <c r="J83" t="s">
        <v>96</v>
      </c>
      <c r="K83" t="s">
        <v>9</v>
      </c>
      <c r="L83" t="s">
        <v>126</v>
      </c>
      <c r="M83" t="s">
        <v>168</v>
      </c>
      <c r="N83" t="s">
        <v>202</v>
      </c>
      <c r="O83" t="s">
        <v>112</v>
      </c>
      <c r="P83" t="s">
        <v>149</v>
      </c>
      <c r="Q83" t="s">
        <v>102</v>
      </c>
      <c r="R83" t="s">
        <v>129</v>
      </c>
      <c r="S83" t="s">
        <v>104</v>
      </c>
      <c r="T83"/>
      <c r="U83">
        <v>1.99</v>
      </c>
      <c r="V83"/>
      <c r="W83">
        <v>8.43</v>
      </c>
      <c r="X83">
        <v>0.00036</v>
      </c>
      <c r="Y83"/>
      <c r="Z83"/>
      <c r="AA83"/>
      <c r="AB83" t="s">
        <v>105</v>
      </c>
      <c r="AC83" t="s">
        <v>105</v>
      </c>
      <c r="AD83">
        <v>7.3</v>
      </c>
      <c r="AE83"/>
      <c r="AF83">
        <v>42.0877998</v>
      </c>
      <c r="AG83">
        <v>-75.9706607</v>
      </c>
      <c r="AH83" t="s">
        <v>199</v>
      </c>
      <c r="AI83">
        <v>56</v>
      </c>
      <c r="AJ83">
        <v>1200</v>
      </c>
      <c r="AK83" t="s">
        <v>86</v>
      </c>
      <c r="AL83">
        <v>32</v>
      </c>
      <c r="AM83">
        <v>4</v>
      </c>
      <c r="AN83" t="s">
        <v>270</v>
      </c>
      <c r="AO83" t="s">
        <v>131</v>
      </c>
      <c r="AP83"/>
      <c r="AQ83" t="s">
        <v>89</v>
      </c>
      <c r="AR83" t="s">
        <v>352</v>
      </c>
      <c r="AS83" t="s">
        <v>82</v>
      </c>
      <c r="AT83" t="s">
        <v>90</v>
      </c>
      <c r="AU83" t="s">
        <v>193</v>
      </c>
      <c r="AV83" t="s">
        <v>193</v>
      </c>
      <c r="AW83" t="s">
        <v>230</v>
      </c>
      <c r="AX83" t="s">
        <v>231</v>
      </c>
      <c r="AY83" t="s">
        <v>232</v>
      </c>
      <c r="AZ83">
        <v>0.888888889</v>
      </c>
      <c r="BA83">
        <v>0.212560386</v>
      </c>
      <c r="BB83">
        <v>14</v>
      </c>
      <c r="BC83">
        <v>1.391304348</v>
      </c>
      <c r="BD83">
        <v>0.270531401</v>
      </c>
      <c r="BE83">
        <v>14</v>
      </c>
      <c r="BF83">
        <v>0.328502415</v>
      </c>
      <c r="BG83">
        <v>0.115942029</v>
      </c>
      <c r="BH83">
        <v>26</v>
      </c>
      <c r="BI83">
        <v>1.15942029</v>
      </c>
      <c r="BJ83">
        <v>0.270531401</v>
      </c>
      <c r="BK83">
        <v>26</v>
      </c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="1" customFormat="1" ht="15" customHeight="1" spans="1:76">
      <c r="A84">
        <v>30</v>
      </c>
      <c r="B84">
        <v>87</v>
      </c>
      <c r="C84" t="s">
        <v>349</v>
      </c>
      <c r="D84" t="s">
        <v>350</v>
      </c>
      <c r="E84">
        <v>1996</v>
      </c>
      <c r="F84" t="s">
        <v>351</v>
      </c>
      <c r="G84" t="s">
        <v>253</v>
      </c>
      <c r="H84" t="s">
        <v>198</v>
      </c>
      <c r="I84" t="s">
        <v>81</v>
      </c>
      <c r="J84" t="s">
        <v>96</v>
      </c>
      <c r="K84" t="s">
        <v>9</v>
      </c>
      <c r="L84" t="s">
        <v>126</v>
      </c>
      <c r="M84" t="s">
        <v>168</v>
      </c>
      <c r="N84" t="s">
        <v>202</v>
      </c>
      <c r="O84" t="s">
        <v>112</v>
      </c>
      <c r="P84" t="s">
        <v>149</v>
      </c>
      <c r="Q84" t="s">
        <v>102</v>
      </c>
      <c r="R84" t="s">
        <v>129</v>
      </c>
      <c r="S84" t="s">
        <v>104</v>
      </c>
      <c r="T84"/>
      <c r="U84">
        <v>1.99</v>
      </c>
      <c r="V84"/>
      <c r="W84">
        <f>10.42-1.99</f>
        <v>8.43</v>
      </c>
      <c r="X84">
        <v>0.00036</v>
      </c>
      <c r="Y84"/>
      <c r="Z84"/>
      <c r="AA84"/>
      <c r="AB84" t="s">
        <v>105</v>
      </c>
      <c r="AC84" t="s">
        <v>105</v>
      </c>
      <c r="AD84">
        <v>5</v>
      </c>
      <c r="AE84"/>
      <c r="AF84">
        <v>42.0877998</v>
      </c>
      <c r="AG84">
        <v>-75.9706607</v>
      </c>
      <c r="AH84" t="s">
        <v>229</v>
      </c>
      <c r="AI84">
        <v>49</v>
      </c>
      <c r="AJ84">
        <v>1200</v>
      </c>
      <c r="AK84" t="s">
        <v>86</v>
      </c>
      <c r="AL84">
        <v>30</v>
      </c>
      <c r="AM84">
        <v>5</v>
      </c>
      <c r="AN84" t="s">
        <v>270</v>
      </c>
      <c r="AO84" t="s">
        <v>131</v>
      </c>
      <c r="AP84"/>
      <c r="AQ84" t="s">
        <v>89</v>
      </c>
      <c r="AR84" t="s">
        <v>177</v>
      </c>
      <c r="AS84" t="s">
        <v>82</v>
      </c>
      <c r="AT84" t="s">
        <v>90</v>
      </c>
      <c r="AU84" t="s">
        <v>193</v>
      </c>
      <c r="AV84" t="s">
        <v>193</v>
      </c>
      <c r="AW84" t="s">
        <v>91</v>
      </c>
      <c r="AX84" t="s">
        <v>134</v>
      </c>
      <c r="AY84" t="s">
        <v>194</v>
      </c>
      <c r="AZ84">
        <v>0.207444169</v>
      </c>
      <c r="BA84">
        <v>0.082382134</v>
      </c>
      <c r="BB84">
        <v>20</v>
      </c>
      <c r="BC84">
        <v>0.270967742</v>
      </c>
      <c r="BD84">
        <v>0.120099256</v>
      </c>
      <c r="BE84">
        <v>20</v>
      </c>
      <c r="BF84">
        <v>4.561688312</v>
      </c>
      <c r="BG84">
        <v>0.86038961</v>
      </c>
      <c r="BH84">
        <v>20</v>
      </c>
      <c r="BI84">
        <v>5.649350649</v>
      </c>
      <c r="BJ84">
        <v>1.168831169</v>
      </c>
      <c r="BK84">
        <v>20</v>
      </c>
      <c r="BL84"/>
      <c r="BM84"/>
      <c r="BN84"/>
      <c r="BO84"/>
      <c r="BP84"/>
      <c r="BQ84"/>
      <c r="BR84"/>
      <c r="BS84"/>
      <c r="BT84"/>
      <c r="BU84"/>
      <c r="BV84"/>
      <c r="BW84"/>
      <c r="BX84"/>
    </row>
    <row r="85" s="1" customFormat="1" ht="15" customHeight="1" spans="1:76">
      <c r="A85">
        <v>31</v>
      </c>
      <c r="B85">
        <v>88</v>
      </c>
      <c r="C85" t="s">
        <v>354</v>
      </c>
      <c r="D85" t="s">
        <v>355</v>
      </c>
      <c r="E85">
        <v>2000</v>
      </c>
      <c r="F85" t="s">
        <v>356</v>
      </c>
      <c r="G85" t="s">
        <v>357</v>
      </c>
      <c r="H85" t="s">
        <v>198</v>
      </c>
      <c r="I85" t="s">
        <v>341</v>
      </c>
      <c r="J85" t="s">
        <v>96</v>
      </c>
      <c r="K85" t="s">
        <v>9</v>
      </c>
      <c r="L85" t="s">
        <v>126</v>
      </c>
      <c r="M85" t="s">
        <v>242</v>
      </c>
      <c r="N85" t="s">
        <v>243</v>
      </c>
      <c r="O85" t="s">
        <v>112</v>
      </c>
      <c r="P85" t="s">
        <v>149</v>
      </c>
      <c r="Q85" t="s">
        <v>102</v>
      </c>
      <c r="R85" t="s">
        <v>103</v>
      </c>
      <c r="S85" t="s">
        <v>104</v>
      </c>
      <c r="T85">
        <v>7</v>
      </c>
      <c r="U85"/>
      <c r="V85"/>
      <c r="W85"/>
      <c r="X85">
        <v>0.31</v>
      </c>
      <c r="Y85"/>
      <c r="Z85">
        <v>7</v>
      </c>
      <c r="AA85">
        <v>18</v>
      </c>
      <c r="AB85" t="s">
        <v>105</v>
      </c>
      <c r="AC85" t="s">
        <v>105</v>
      </c>
      <c r="AD85"/>
      <c r="AE85"/>
      <c r="AF85">
        <v>56.1964819</v>
      </c>
      <c r="AG85">
        <v>10.2178799</v>
      </c>
      <c r="AH85" t="s">
        <v>358</v>
      </c>
      <c r="AI85">
        <v>31.5</v>
      </c>
      <c r="AJ85">
        <v>10</v>
      </c>
      <c r="AK85" t="s">
        <v>86</v>
      </c>
      <c r="AL85">
        <v>27</v>
      </c>
      <c r="AM85">
        <v>3</v>
      </c>
      <c r="AN85"/>
      <c r="AO85"/>
      <c r="AP85"/>
      <c r="AQ85" t="s">
        <v>185</v>
      </c>
      <c r="AR85" t="s">
        <v>186</v>
      </c>
      <c r="AS85" t="s">
        <v>82</v>
      </c>
      <c r="AT85" t="s">
        <v>359</v>
      </c>
      <c r="AU85" t="s">
        <v>221</v>
      </c>
      <c r="AV85" t="s">
        <v>222</v>
      </c>
      <c r="AW85" t="s">
        <v>193</v>
      </c>
      <c r="AX85" t="s">
        <v>328</v>
      </c>
      <c r="AY85" t="s">
        <v>272</v>
      </c>
      <c r="AZ85">
        <v>0.009411765</v>
      </c>
      <c r="BA85">
        <v>0.002875817</v>
      </c>
      <c r="BB85">
        <v>20</v>
      </c>
      <c r="BC85">
        <v>0.047581699</v>
      </c>
      <c r="BD85">
        <v>0.00496732</v>
      </c>
      <c r="BE85">
        <v>20</v>
      </c>
      <c r="BF85">
        <v>0.04627451</v>
      </c>
      <c r="BG85">
        <v>0.004183007</v>
      </c>
      <c r="BH85">
        <v>20</v>
      </c>
      <c r="BI85">
        <v>0.105359477</v>
      </c>
      <c r="BJ85">
        <v>0.005751634</v>
      </c>
      <c r="BK85">
        <v>20</v>
      </c>
      <c r="BL85"/>
      <c r="BM85"/>
      <c r="BN85"/>
      <c r="BO85"/>
      <c r="BP85"/>
      <c r="BQ85"/>
      <c r="BR85"/>
      <c r="BS85"/>
      <c r="BT85"/>
      <c r="BU85"/>
      <c r="BV85"/>
      <c r="BW85"/>
      <c r="BX85"/>
    </row>
    <row r="86" s="1" customFormat="1" ht="15" customHeight="1" spans="1:76">
      <c r="A86">
        <v>31</v>
      </c>
      <c r="B86">
        <v>89</v>
      </c>
      <c r="C86" t="s">
        <v>354</v>
      </c>
      <c r="D86" t="s">
        <v>355</v>
      </c>
      <c r="E86">
        <v>2000</v>
      </c>
      <c r="F86" t="s">
        <v>356</v>
      </c>
      <c r="G86" t="s">
        <v>357</v>
      </c>
      <c r="H86" t="s">
        <v>198</v>
      </c>
      <c r="I86" t="s">
        <v>341</v>
      </c>
      <c r="J86" t="s">
        <v>96</v>
      </c>
      <c r="K86" t="s">
        <v>9</v>
      </c>
      <c r="L86" t="s">
        <v>345</v>
      </c>
      <c r="M86" t="s">
        <v>346</v>
      </c>
      <c r="N86" t="s">
        <v>347</v>
      </c>
      <c r="O86" t="s">
        <v>112</v>
      </c>
      <c r="P86" t="s">
        <v>149</v>
      </c>
      <c r="Q86" t="s">
        <v>102</v>
      </c>
      <c r="R86" t="s">
        <v>103</v>
      </c>
      <c r="S86" t="s">
        <v>248</v>
      </c>
      <c r="T86">
        <v>7</v>
      </c>
      <c r="U86"/>
      <c r="V86"/>
      <c r="W86"/>
      <c r="X86">
        <v>0.31</v>
      </c>
      <c r="Y86"/>
      <c r="Z86">
        <v>7</v>
      </c>
      <c r="AA86">
        <v>18</v>
      </c>
      <c r="AB86" t="s">
        <v>105</v>
      </c>
      <c r="AC86" t="s">
        <v>105</v>
      </c>
      <c r="AD86"/>
      <c r="AE86"/>
      <c r="AF86">
        <v>56.1964819</v>
      </c>
      <c r="AG86">
        <v>10.2178799</v>
      </c>
      <c r="AH86" t="s">
        <v>358</v>
      </c>
      <c r="AI86">
        <v>31.5</v>
      </c>
      <c r="AJ86">
        <v>10</v>
      </c>
      <c r="AK86" t="s">
        <v>86</v>
      </c>
      <c r="AL86">
        <v>18</v>
      </c>
      <c r="AM86">
        <v>3</v>
      </c>
      <c r="AN86"/>
      <c r="AO86"/>
      <c r="AP86"/>
      <c r="AQ86" t="s">
        <v>185</v>
      </c>
      <c r="AR86" t="s">
        <v>186</v>
      </c>
      <c r="AS86" t="s">
        <v>82</v>
      </c>
      <c r="AT86" t="s">
        <v>359</v>
      </c>
      <c r="AU86" t="s">
        <v>221</v>
      </c>
      <c r="AV86" t="s">
        <v>222</v>
      </c>
      <c r="AW86" t="s">
        <v>193</v>
      </c>
      <c r="AX86" t="s">
        <v>328</v>
      </c>
      <c r="AY86" t="s">
        <v>272</v>
      </c>
      <c r="AZ86">
        <v>0.027189542</v>
      </c>
      <c r="BA86">
        <v>0.002352941</v>
      </c>
      <c r="BB86">
        <v>20</v>
      </c>
      <c r="BC86">
        <v>0.021437908</v>
      </c>
      <c r="BD86">
        <v>0.002352941</v>
      </c>
      <c r="BE86">
        <v>20</v>
      </c>
      <c r="BF86">
        <v>0.069019608</v>
      </c>
      <c r="BG86">
        <v>0.008366013</v>
      </c>
      <c r="BH86">
        <v>20</v>
      </c>
      <c r="BI86">
        <v>0.11503268</v>
      </c>
      <c r="BJ86">
        <v>0.01254902</v>
      </c>
      <c r="BK86">
        <v>20</v>
      </c>
      <c r="BL86"/>
      <c r="BM86"/>
      <c r="BN86"/>
      <c r="BO86"/>
      <c r="BP86"/>
      <c r="BQ86"/>
      <c r="BR86"/>
      <c r="BS86"/>
      <c r="BT86"/>
      <c r="BU86"/>
      <c r="BV86"/>
      <c r="BW86"/>
      <c r="BX86"/>
    </row>
    <row r="87" s="1" customFormat="1" ht="15" customHeight="1" spans="1:76">
      <c r="A87">
        <v>32</v>
      </c>
      <c r="B87">
        <v>90</v>
      </c>
      <c r="C87" t="s">
        <v>360</v>
      </c>
      <c r="D87" t="s">
        <v>361</v>
      </c>
      <c r="E87">
        <v>2018</v>
      </c>
      <c r="F87" t="s">
        <v>362</v>
      </c>
      <c r="G87" t="s">
        <v>363</v>
      </c>
      <c r="H87" t="s">
        <v>140</v>
      </c>
      <c r="I87" t="s">
        <v>81</v>
      </c>
      <c r="J87" t="s">
        <v>82</v>
      </c>
      <c r="K87" t="s">
        <v>364</v>
      </c>
      <c r="L87" t="s">
        <v>84</v>
      </c>
      <c r="M87" t="s">
        <v>84</v>
      </c>
      <c r="N87" t="s">
        <v>84</v>
      </c>
      <c r="O87" t="s">
        <v>84</v>
      </c>
      <c r="P87"/>
      <c r="Q87"/>
      <c r="R87"/>
      <c r="S87"/>
      <c r="T87"/>
      <c r="U87"/>
      <c r="V87"/>
      <c r="W87"/>
      <c r="X87"/>
      <c r="Y87"/>
      <c r="Z87">
        <v>29.1</v>
      </c>
      <c r="AA87"/>
      <c r="AB87" t="s">
        <v>105</v>
      </c>
      <c r="AC87" t="s">
        <v>105</v>
      </c>
      <c r="AD87">
        <v>8.2</v>
      </c>
      <c r="AE87"/>
      <c r="AF87">
        <v>24.55</v>
      </c>
      <c r="AG87">
        <v>-81.76</v>
      </c>
      <c r="AH87" t="s">
        <v>365</v>
      </c>
      <c r="AI87">
        <v>350</v>
      </c>
      <c r="AJ87">
        <v>1</v>
      </c>
      <c r="AK87" t="s">
        <v>366</v>
      </c>
      <c r="AL87">
        <v>30</v>
      </c>
      <c r="AM87">
        <v>5</v>
      </c>
      <c r="AN87" t="s">
        <v>87</v>
      </c>
      <c r="AO87" t="s">
        <v>131</v>
      </c>
      <c r="AP87" t="s">
        <v>162</v>
      </c>
      <c r="AQ87" t="s">
        <v>89</v>
      </c>
      <c r="AR87" t="s">
        <v>89</v>
      </c>
      <c r="AS87" t="s">
        <v>82</v>
      </c>
      <c r="AT87" t="s">
        <v>367</v>
      </c>
      <c r="AU87" t="s">
        <v>91</v>
      </c>
      <c r="AV87" t="s">
        <v>256</v>
      </c>
      <c r="AW87" t="s">
        <v>193</v>
      </c>
      <c r="AX87" t="s">
        <v>193</v>
      </c>
      <c r="AY87" t="s">
        <v>194</v>
      </c>
      <c r="AZ87">
        <v>70.6102117061021</v>
      </c>
      <c r="BA87">
        <f>(76.3636363636363-70.6102117061021)*(5^(1/2))</f>
        <v>12.8650486376699</v>
      </c>
      <c r="BB87">
        <v>5</v>
      </c>
      <c r="BC87">
        <v>57.1855541718555</v>
      </c>
      <c r="BD87">
        <f>(62.0672478206724-57.1855541718555)*(5^(1/2))</f>
        <v>10.9157988440836</v>
      </c>
      <c r="BE87">
        <v>5</v>
      </c>
      <c r="BF87">
        <v>82.640099626401</v>
      </c>
      <c r="BG87">
        <f>(97.1108343711083-82.640099626401)*(5^(1/2))</f>
        <v>32.3575465735336</v>
      </c>
      <c r="BH87">
        <v>5</v>
      </c>
      <c r="BI87">
        <v>84.4707347447073</v>
      </c>
      <c r="BJ87">
        <f>(95.0186799501868-84.4707347447073)*(5^(1/2))</f>
        <v>23.5859225023951</v>
      </c>
      <c r="BK87">
        <v>5</v>
      </c>
      <c r="BL87"/>
      <c r="BM87"/>
      <c r="BN87"/>
      <c r="BO87"/>
      <c r="BP87"/>
      <c r="BQ87"/>
      <c r="BR87"/>
      <c r="BS87"/>
      <c r="BT87"/>
      <c r="BU87"/>
      <c r="BV87"/>
      <c r="BW87"/>
      <c r="BX87"/>
    </row>
    <row r="88" s="1" customFormat="1" ht="15" customHeight="1" spans="1:76">
      <c r="A88">
        <v>32</v>
      </c>
      <c r="B88">
        <v>91</v>
      </c>
      <c r="C88" t="s">
        <v>360</v>
      </c>
      <c r="D88" t="s">
        <v>361</v>
      </c>
      <c r="E88">
        <v>2018</v>
      </c>
      <c r="F88" t="s">
        <v>362</v>
      </c>
      <c r="G88" t="s">
        <v>363</v>
      </c>
      <c r="H88" t="s">
        <v>140</v>
      </c>
      <c r="I88" t="s">
        <v>81</v>
      </c>
      <c r="J88" t="s">
        <v>82</v>
      </c>
      <c r="K88" t="s">
        <v>364</v>
      </c>
      <c r="L88" t="s">
        <v>84</v>
      </c>
      <c r="M88" t="s">
        <v>84</v>
      </c>
      <c r="N88" t="s">
        <v>84</v>
      </c>
      <c r="O88" t="s">
        <v>84</v>
      </c>
      <c r="P88"/>
      <c r="Q88"/>
      <c r="R88"/>
      <c r="S88"/>
      <c r="T88"/>
      <c r="U88"/>
      <c r="V88"/>
      <c r="W88"/>
      <c r="X88"/>
      <c r="Y88"/>
      <c r="Z88">
        <v>29.1</v>
      </c>
      <c r="AA88"/>
      <c r="AB88" t="s">
        <v>105</v>
      </c>
      <c r="AC88" t="s">
        <v>105</v>
      </c>
      <c r="AD88">
        <v>8.2</v>
      </c>
      <c r="AE88"/>
      <c r="AF88">
        <v>24.55</v>
      </c>
      <c r="AG88">
        <v>-81.76</v>
      </c>
      <c r="AH88" t="s">
        <v>365</v>
      </c>
      <c r="AI88">
        <v>350</v>
      </c>
      <c r="AJ88">
        <v>1</v>
      </c>
      <c r="AK88" t="s">
        <v>366</v>
      </c>
      <c r="AL88">
        <v>30</v>
      </c>
      <c r="AM88">
        <v>5</v>
      </c>
      <c r="AN88" t="s">
        <v>87</v>
      </c>
      <c r="AO88" t="s">
        <v>131</v>
      </c>
      <c r="AP88" t="s">
        <v>162</v>
      </c>
      <c r="AQ88" t="s">
        <v>185</v>
      </c>
      <c r="AR88" t="s">
        <v>368</v>
      </c>
      <c r="AS88" t="s">
        <v>82</v>
      </c>
      <c r="AT88" t="s">
        <v>212</v>
      </c>
      <c r="AU88" t="s">
        <v>91</v>
      </c>
      <c r="AV88" t="s">
        <v>256</v>
      </c>
      <c r="AW88" t="s">
        <v>193</v>
      </c>
      <c r="AX88" t="s">
        <v>193</v>
      </c>
      <c r="AY88" t="s">
        <v>194</v>
      </c>
      <c r="AZ88">
        <v>33.8833883388338</v>
      </c>
      <c r="BA88">
        <f>(34.8734873487348-32.4532453245324)*(5^(1/2))</f>
        <v>5.41182568811825</v>
      </c>
      <c r="BB88">
        <v>5</v>
      </c>
      <c r="BC88">
        <v>36.4686468646864</v>
      </c>
      <c r="BD88">
        <f>(38.8338833883388-33.7183718371837)*(5^(1/2))</f>
        <v>11.4386315680682</v>
      </c>
      <c r="BE88">
        <v>5</v>
      </c>
      <c r="BF88">
        <v>37.6787678767876</v>
      </c>
      <c r="BG88">
        <f>(39.5489548954895-35.8085808580858)*(5^(1/2))</f>
        <v>8.36373060891002</v>
      </c>
      <c r="BH88">
        <v>5</v>
      </c>
      <c r="BI88">
        <v>35.4235423542354</v>
      </c>
      <c r="BJ88">
        <f>(36.1936193619362-34.103410341034)*(5^(1/2))</f>
        <v>4.6738494579206</v>
      </c>
      <c r="BK88">
        <v>5</v>
      </c>
      <c r="BL88"/>
      <c r="BM88"/>
      <c r="BN88"/>
      <c r="BO88"/>
      <c r="BP88"/>
      <c r="BQ88"/>
      <c r="BR88"/>
      <c r="BS88"/>
      <c r="BT88"/>
      <c r="BU88"/>
      <c r="BV88"/>
      <c r="BW88"/>
      <c r="BX88"/>
    </row>
    <row r="89" s="1" customFormat="1" ht="15" customHeight="1" spans="1:76">
      <c r="A89">
        <v>33</v>
      </c>
      <c r="B89">
        <v>92</v>
      </c>
      <c r="C89" t="s">
        <v>369</v>
      </c>
      <c r="D89" t="s">
        <v>370</v>
      </c>
      <c r="E89">
        <v>2020</v>
      </c>
      <c r="F89" t="s">
        <v>371</v>
      </c>
      <c r="G89" t="s">
        <v>372</v>
      </c>
      <c r="H89" t="s">
        <v>198</v>
      </c>
      <c r="I89" t="s">
        <v>373</v>
      </c>
      <c r="J89" t="s">
        <v>96</v>
      </c>
      <c r="K89" t="s">
        <v>9</v>
      </c>
      <c r="L89" t="s">
        <v>374</v>
      </c>
      <c r="M89" t="s">
        <v>375</v>
      </c>
      <c r="N89" t="s">
        <v>376</v>
      </c>
      <c r="O89" t="s">
        <v>112</v>
      </c>
      <c r="P89" t="s">
        <v>149</v>
      </c>
      <c r="Q89" t="s">
        <v>102</v>
      </c>
      <c r="R89" t="s">
        <v>103</v>
      </c>
      <c r="S89" t="s">
        <v>248</v>
      </c>
      <c r="T89">
        <v>1.5</v>
      </c>
      <c r="U89"/>
      <c r="V89">
        <v>1.5</v>
      </c>
      <c r="W89"/>
      <c r="X89">
        <v>0.075</v>
      </c>
      <c r="Y89"/>
      <c r="Z89">
        <v>18</v>
      </c>
      <c r="AA89"/>
      <c r="AB89" t="s">
        <v>105</v>
      </c>
      <c r="AC89" t="s">
        <v>105</v>
      </c>
      <c r="AD89"/>
      <c r="AE89"/>
      <c r="AF89">
        <v>51.1843856</v>
      </c>
      <c r="AG89">
        <v>4.4199387</v>
      </c>
      <c r="AH89" t="s">
        <v>377</v>
      </c>
      <c r="AI89">
        <v>134</v>
      </c>
      <c r="AJ89">
        <v>48000</v>
      </c>
      <c r="AK89" t="s">
        <v>378</v>
      </c>
      <c r="AL89">
        <f>48*4</f>
        <v>192</v>
      </c>
      <c r="AM89">
        <v>48</v>
      </c>
      <c r="AN89" t="s">
        <v>117</v>
      </c>
      <c r="AO89" t="s">
        <v>183</v>
      </c>
      <c r="AP89" t="s">
        <v>293</v>
      </c>
      <c r="AQ89" t="s">
        <v>185</v>
      </c>
      <c r="AR89" t="s">
        <v>186</v>
      </c>
      <c r="AS89" t="s">
        <v>82</v>
      </c>
      <c r="AT89" t="s">
        <v>379</v>
      </c>
      <c r="AU89" t="s">
        <v>91</v>
      </c>
      <c r="AV89" t="s">
        <v>92</v>
      </c>
      <c r="AW89" t="s">
        <v>193</v>
      </c>
      <c r="AX89" t="s">
        <v>193</v>
      </c>
      <c r="AY89" t="s">
        <v>194</v>
      </c>
      <c r="AZ89">
        <v>-10.3714565</v>
      </c>
      <c r="BA89">
        <v>0.82111437</v>
      </c>
      <c r="BB89">
        <v>48</v>
      </c>
      <c r="BC89">
        <v>-28.84652981</v>
      </c>
      <c r="BD89">
        <v>1.094819159</v>
      </c>
      <c r="BE89">
        <v>48</v>
      </c>
      <c r="BF89">
        <v>18.29912023</v>
      </c>
      <c r="BG89">
        <v>0.889540567</v>
      </c>
      <c r="BH89">
        <v>48</v>
      </c>
      <c r="BI89">
        <v>-2.2971652</v>
      </c>
      <c r="BJ89">
        <v>0.615835777</v>
      </c>
      <c r="BK89">
        <v>48</v>
      </c>
      <c r="BL89"/>
      <c r="BM89"/>
      <c r="BN89"/>
      <c r="BO89"/>
      <c r="BP89"/>
      <c r="BQ89"/>
      <c r="BR89"/>
      <c r="BS89"/>
      <c r="BT89"/>
      <c r="BU89"/>
      <c r="BV89"/>
      <c r="BW89"/>
      <c r="BX89"/>
    </row>
    <row r="90" s="1" customFormat="1" ht="15" customHeight="1" spans="1:76">
      <c r="A90">
        <v>33</v>
      </c>
      <c r="B90">
        <v>93</v>
      </c>
      <c r="C90" t="s">
        <v>369</v>
      </c>
      <c r="D90" t="s">
        <v>370</v>
      </c>
      <c r="E90">
        <v>2020</v>
      </c>
      <c r="F90" t="s">
        <v>371</v>
      </c>
      <c r="G90" t="s">
        <v>372</v>
      </c>
      <c r="H90" t="s">
        <v>198</v>
      </c>
      <c r="I90" t="s">
        <v>373</v>
      </c>
      <c r="J90" t="s">
        <v>96</v>
      </c>
      <c r="K90" t="s">
        <v>9</v>
      </c>
      <c r="L90" t="s">
        <v>374</v>
      </c>
      <c r="M90" t="s">
        <v>375</v>
      </c>
      <c r="N90" t="s">
        <v>376</v>
      </c>
      <c r="O90" t="s">
        <v>112</v>
      </c>
      <c r="P90" t="s">
        <v>149</v>
      </c>
      <c r="Q90" t="s">
        <v>102</v>
      </c>
      <c r="R90" t="s">
        <v>103</v>
      </c>
      <c r="S90" t="s">
        <v>248</v>
      </c>
      <c r="T90">
        <v>1.5</v>
      </c>
      <c r="U90"/>
      <c r="V90">
        <v>0.075</v>
      </c>
      <c r="W90"/>
      <c r="X90">
        <v>0.075</v>
      </c>
      <c r="Y90"/>
      <c r="Z90">
        <v>18</v>
      </c>
      <c r="AA90"/>
      <c r="AB90" t="s">
        <v>105</v>
      </c>
      <c r="AC90" t="s">
        <v>105</v>
      </c>
      <c r="AD90"/>
      <c r="AE90"/>
      <c r="AF90">
        <v>51.1843856</v>
      </c>
      <c r="AG90">
        <v>4.4199387</v>
      </c>
      <c r="AH90" t="s">
        <v>377</v>
      </c>
      <c r="AI90">
        <v>134</v>
      </c>
      <c r="AJ90">
        <v>48000</v>
      </c>
      <c r="AK90" t="s">
        <v>378</v>
      </c>
      <c r="AL90">
        <f>48*4</f>
        <v>192</v>
      </c>
      <c r="AM90">
        <v>48</v>
      </c>
      <c r="AN90" t="s">
        <v>117</v>
      </c>
      <c r="AO90" t="s">
        <v>183</v>
      </c>
      <c r="AP90" t="s">
        <v>293</v>
      </c>
      <c r="AQ90" t="s">
        <v>185</v>
      </c>
      <c r="AR90" t="s">
        <v>186</v>
      </c>
      <c r="AS90" t="s">
        <v>82</v>
      </c>
      <c r="AT90" t="s">
        <v>379</v>
      </c>
      <c r="AU90" t="s">
        <v>380</v>
      </c>
      <c r="AV90" t="s">
        <v>381</v>
      </c>
      <c r="AW90" t="s">
        <v>91</v>
      </c>
      <c r="AX90" t="s">
        <v>92</v>
      </c>
      <c r="AY90" t="s">
        <v>382</v>
      </c>
      <c r="AZ90">
        <v>-10.3714565</v>
      </c>
      <c r="BA90">
        <v>0.82111437</v>
      </c>
      <c r="BB90">
        <v>48</v>
      </c>
      <c r="BC90">
        <v>-1.407624633</v>
      </c>
      <c r="BD90">
        <v>0.889540567</v>
      </c>
      <c r="BE90">
        <v>48</v>
      </c>
      <c r="BF90">
        <v>-28.84652981</v>
      </c>
      <c r="BG90">
        <v>1.094819159</v>
      </c>
      <c r="BH90">
        <v>48</v>
      </c>
      <c r="BI90">
        <v>-18.5826002</v>
      </c>
      <c r="BJ90">
        <v>1.163245357</v>
      </c>
      <c r="BK90">
        <v>48</v>
      </c>
      <c r="BL90"/>
      <c r="BM90"/>
      <c r="BN90"/>
      <c r="BO90"/>
      <c r="BP90"/>
      <c r="BQ90"/>
      <c r="BR90"/>
      <c r="BS90"/>
      <c r="BT90"/>
      <c r="BU90"/>
      <c r="BV90"/>
      <c r="BW90"/>
      <c r="BX90"/>
    </row>
    <row r="91" s="1" customFormat="1" ht="15" customHeight="1" spans="1:76">
      <c r="A91">
        <v>33</v>
      </c>
      <c r="B91">
        <v>94</v>
      </c>
      <c r="C91" t="s">
        <v>369</v>
      </c>
      <c r="D91" t="s">
        <v>370</v>
      </c>
      <c r="E91">
        <v>2020</v>
      </c>
      <c r="F91" t="s">
        <v>371</v>
      </c>
      <c r="G91" t="s">
        <v>372</v>
      </c>
      <c r="H91" t="s">
        <v>198</v>
      </c>
      <c r="I91" t="s">
        <v>373</v>
      </c>
      <c r="J91" t="s">
        <v>96</v>
      </c>
      <c r="K91" t="s">
        <v>9</v>
      </c>
      <c r="L91" t="s">
        <v>374</v>
      </c>
      <c r="M91" t="s">
        <v>375</v>
      </c>
      <c r="N91" t="s">
        <v>376</v>
      </c>
      <c r="O91" t="s">
        <v>112</v>
      </c>
      <c r="P91" t="s">
        <v>149</v>
      </c>
      <c r="Q91" t="s">
        <v>102</v>
      </c>
      <c r="R91" t="s">
        <v>103</v>
      </c>
      <c r="S91" t="s">
        <v>248</v>
      </c>
      <c r="T91">
        <v>1.5</v>
      </c>
      <c r="U91"/>
      <c r="V91">
        <v>0.075</v>
      </c>
      <c r="W91"/>
      <c r="X91">
        <v>0.075</v>
      </c>
      <c r="Y91"/>
      <c r="Z91">
        <v>18</v>
      </c>
      <c r="AA91"/>
      <c r="AB91" t="s">
        <v>105</v>
      </c>
      <c r="AC91" t="s">
        <v>105</v>
      </c>
      <c r="AD91"/>
      <c r="AE91"/>
      <c r="AF91">
        <v>51.1843856</v>
      </c>
      <c r="AG91">
        <v>4.4199387</v>
      </c>
      <c r="AH91" t="s">
        <v>377</v>
      </c>
      <c r="AI91">
        <v>134</v>
      </c>
      <c r="AJ91">
        <v>48000</v>
      </c>
      <c r="AK91" t="s">
        <v>378</v>
      </c>
      <c r="AL91">
        <f>48*4</f>
        <v>192</v>
      </c>
      <c r="AM91">
        <v>48</v>
      </c>
      <c r="AN91" t="s">
        <v>117</v>
      </c>
      <c r="AO91" t="s">
        <v>183</v>
      </c>
      <c r="AP91" t="s">
        <v>293</v>
      </c>
      <c r="AQ91" t="s">
        <v>185</v>
      </c>
      <c r="AR91" t="s">
        <v>186</v>
      </c>
      <c r="AS91" t="s">
        <v>82</v>
      </c>
      <c r="AT91" t="s">
        <v>379</v>
      </c>
      <c r="AU91" t="s">
        <v>380</v>
      </c>
      <c r="AV91" t="s">
        <v>381</v>
      </c>
      <c r="AW91" t="s">
        <v>193</v>
      </c>
      <c r="AX91" t="s">
        <v>193</v>
      </c>
      <c r="AY91" t="s">
        <v>383</v>
      </c>
      <c r="AZ91">
        <v>-10.3714565</v>
      </c>
      <c r="BA91">
        <v>0.82111437</v>
      </c>
      <c r="BB91">
        <v>48</v>
      </c>
      <c r="BC91">
        <v>-1.407624633</v>
      </c>
      <c r="BD91">
        <v>0.889540567</v>
      </c>
      <c r="BE91">
        <v>48</v>
      </c>
      <c r="BF91">
        <v>18.29912023</v>
      </c>
      <c r="BG91">
        <v>0.889540567</v>
      </c>
      <c r="BH91">
        <v>48</v>
      </c>
      <c r="BI91">
        <v>18.91495601</v>
      </c>
      <c r="BJ91">
        <v>1.368523949</v>
      </c>
      <c r="BK91">
        <v>48</v>
      </c>
      <c r="BL91"/>
      <c r="BM91"/>
      <c r="BN91"/>
      <c r="BO91"/>
      <c r="BP91"/>
      <c r="BQ91"/>
      <c r="BR91"/>
      <c r="BS91"/>
      <c r="BT91"/>
      <c r="BU91"/>
      <c r="BV91"/>
      <c r="BW91"/>
      <c r="BX91"/>
    </row>
    <row r="92" s="1" customFormat="1" ht="15" customHeight="1" spans="1:76">
      <c r="A92">
        <v>34</v>
      </c>
      <c r="B92">
        <v>95</v>
      </c>
      <c r="C92" t="s">
        <v>384</v>
      </c>
      <c r="D92" t="s">
        <v>385</v>
      </c>
      <c r="E92">
        <v>2019</v>
      </c>
      <c r="F92" t="s">
        <v>386</v>
      </c>
      <c r="G92" t="s">
        <v>125</v>
      </c>
      <c r="H92" t="s">
        <v>198</v>
      </c>
      <c r="I92" t="s">
        <v>110</v>
      </c>
      <c r="J92" t="s">
        <v>96</v>
      </c>
      <c r="K92" t="s">
        <v>9</v>
      </c>
      <c r="L92" t="s">
        <v>387</v>
      </c>
      <c r="M92" t="s">
        <v>388</v>
      </c>
      <c r="N92" t="s">
        <v>389</v>
      </c>
      <c r="O92" t="s">
        <v>112</v>
      </c>
      <c r="P92" t="s">
        <v>149</v>
      </c>
      <c r="Q92" t="s">
        <v>102</v>
      </c>
      <c r="R92" t="s">
        <v>103</v>
      </c>
      <c r="S92" t="s">
        <v>104</v>
      </c>
      <c r="T92"/>
      <c r="U92"/>
      <c r="V92"/>
      <c r="W92"/>
      <c r="X92"/>
      <c r="Y92"/>
      <c r="Z92"/>
      <c r="AA92"/>
      <c r="AB92"/>
      <c r="AC92"/>
      <c r="AD92"/>
      <c r="AE92"/>
      <c r="AF92">
        <v>29.2519577</v>
      </c>
      <c r="AG92">
        <v>115.8274838</v>
      </c>
      <c r="AH92" t="s">
        <v>390</v>
      </c>
      <c r="AI92">
        <v>40</v>
      </c>
      <c r="AJ92">
        <v>0.3</v>
      </c>
      <c r="AK92" t="s">
        <v>115</v>
      </c>
      <c r="AL92">
        <v>18</v>
      </c>
      <c r="AM92">
        <v>3</v>
      </c>
      <c r="AN92"/>
      <c r="AO92"/>
      <c r="AP92"/>
      <c r="AQ92" t="s">
        <v>89</v>
      </c>
      <c r="AR92" t="s">
        <v>391</v>
      </c>
      <c r="AS92" t="s">
        <v>82</v>
      </c>
      <c r="AT92" t="s">
        <v>392</v>
      </c>
      <c r="AU92" t="s">
        <v>91</v>
      </c>
      <c r="AV92" t="s">
        <v>287</v>
      </c>
      <c r="AW92" t="s">
        <v>93</v>
      </c>
      <c r="AX92" t="s">
        <v>94</v>
      </c>
      <c r="AY92" t="s">
        <v>95</v>
      </c>
      <c r="AZ92">
        <v>189.7752809</v>
      </c>
      <c r="BA92">
        <v>194.4178378</v>
      </c>
      <c r="BB92">
        <v>27</v>
      </c>
      <c r="BC92">
        <v>202.9213483</v>
      </c>
      <c r="BD92">
        <v>35.03024105</v>
      </c>
      <c r="BE92">
        <v>27</v>
      </c>
      <c r="BF92">
        <v>213.7078652</v>
      </c>
      <c r="BG92">
        <v>126.1088678</v>
      </c>
      <c r="BH92">
        <v>27</v>
      </c>
      <c r="BI92">
        <v>215.7303371</v>
      </c>
      <c r="BJ92">
        <v>77.06653031</v>
      </c>
      <c r="BK92">
        <v>27</v>
      </c>
      <c r="BL92"/>
      <c r="BM92"/>
      <c r="BN92"/>
      <c r="BO92"/>
      <c r="BP92"/>
      <c r="BQ92"/>
      <c r="BR92"/>
      <c r="BS92"/>
      <c r="BT92"/>
      <c r="BU92"/>
      <c r="BV92"/>
      <c r="BW92"/>
      <c r="BX92"/>
    </row>
    <row r="93" s="1" customFormat="1" ht="15" customHeight="1" spans="1:76">
      <c r="A93">
        <v>34</v>
      </c>
      <c r="B93">
        <v>96</v>
      </c>
      <c r="C93" t="s">
        <v>384</v>
      </c>
      <c r="D93" t="s">
        <v>385</v>
      </c>
      <c r="E93">
        <v>2019</v>
      </c>
      <c r="F93" t="s">
        <v>386</v>
      </c>
      <c r="G93" t="s">
        <v>125</v>
      </c>
      <c r="H93" t="s">
        <v>198</v>
      </c>
      <c r="I93" t="s">
        <v>110</v>
      </c>
      <c r="J93" t="s">
        <v>96</v>
      </c>
      <c r="K93" t="s">
        <v>9</v>
      </c>
      <c r="L93" t="s">
        <v>126</v>
      </c>
      <c r="M93" t="s">
        <v>127</v>
      </c>
      <c r="N93" t="s">
        <v>128</v>
      </c>
      <c r="O93" t="s">
        <v>112</v>
      </c>
      <c r="P93" t="s">
        <v>101</v>
      </c>
      <c r="Q93" t="s">
        <v>102</v>
      </c>
      <c r="R93" t="s">
        <v>129</v>
      </c>
      <c r="S93" t="s">
        <v>104</v>
      </c>
      <c r="T93"/>
      <c r="U93"/>
      <c r="V93"/>
      <c r="W93"/>
      <c r="X93"/>
      <c r="Y93"/>
      <c r="Z93"/>
      <c r="AA93"/>
      <c r="AB93"/>
      <c r="AC93"/>
      <c r="AD93"/>
      <c r="AE93"/>
      <c r="AF93">
        <v>29.2519577</v>
      </c>
      <c r="AG93">
        <v>115.8274838</v>
      </c>
      <c r="AH93" t="s">
        <v>390</v>
      </c>
      <c r="AI93">
        <v>40</v>
      </c>
      <c r="AJ93">
        <v>0.3</v>
      </c>
      <c r="AK93" t="s">
        <v>115</v>
      </c>
      <c r="AL93">
        <v>18</v>
      </c>
      <c r="AM93">
        <v>3</v>
      </c>
      <c r="AN93"/>
      <c r="AO93"/>
      <c r="AP93"/>
      <c r="AQ93" t="s">
        <v>89</v>
      </c>
      <c r="AR93" t="s">
        <v>391</v>
      </c>
      <c r="AS93" t="s">
        <v>82</v>
      </c>
      <c r="AT93" t="s">
        <v>392</v>
      </c>
      <c r="AU93" t="s">
        <v>91</v>
      </c>
      <c r="AV93" t="s">
        <v>287</v>
      </c>
      <c r="AW93" t="s">
        <v>93</v>
      </c>
      <c r="AX93" t="s">
        <v>94</v>
      </c>
      <c r="AY93" t="s">
        <v>95</v>
      </c>
      <c r="AZ93">
        <v>44.6631016</v>
      </c>
      <c r="BA93">
        <v>16.44985152</v>
      </c>
      <c r="BB93">
        <v>27</v>
      </c>
      <c r="BC93">
        <v>41.83957219</v>
      </c>
      <c r="BD93">
        <v>32.89970304</v>
      </c>
      <c r="BE93">
        <v>27</v>
      </c>
      <c r="BF93">
        <v>49.02673797</v>
      </c>
      <c r="BG93">
        <v>20.00657617</v>
      </c>
      <c r="BH93">
        <v>27</v>
      </c>
      <c r="BI93">
        <v>30.71657754</v>
      </c>
      <c r="BJ93">
        <v>38.23479002</v>
      </c>
      <c r="BK93">
        <v>27</v>
      </c>
      <c r="BL93"/>
      <c r="BM93"/>
      <c r="BN93"/>
      <c r="BO93"/>
      <c r="BP93"/>
      <c r="BQ93"/>
      <c r="BR93"/>
      <c r="BS93"/>
      <c r="BT93"/>
      <c r="BU93"/>
      <c r="BV93"/>
      <c r="BW93"/>
      <c r="BX93"/>
    </row>
    <row r="94" s="1" customFormat="1" ht="15" customHeight="1" spans="1:76">
      <c r="A94">
        <v>34</v>
      </c>
      <c r="B94">
        <v>97</v>
      </c>
      <c r="C94" t="s">
        <v>384</v>
      </c>
      <c r="D94" t="s">
        <v>385</v>
      </c>
      <c r="E94">
        <v>2019</v>
      </c>
      <c r="F94" t="s">
        <v>386</v>
      </c>
      <c r="G94" t="s">
        <v>125</v>
      </c>
      <c r="H94" t="s">
        <v>198</v>
      </c>
      <c r="I94" t="s">
        <v>110</v>
      </c>
      <c r="J94" t="s">
        <v>96</v>
      </c>
      <c r="K94" t="s">
        <v>9</v>
      </c>
      <c r="L94" t="s">
        <v>126</v>
      </c>
      <c r="M94" t="s">
        <v>168</v>
      </c>
      <c r="N94" t="s">
        <v>268</v>
      </c>
      <c r="O94" t="s">
        <v>112</v>
      </c>
      <c r="P94" t="s">
        <v>149</v>
      </c>
      <c r="Q94" t="s">
        <v>210</v>
      </c>
      <c r="R94" t="s">
        <v>103</v>
      </c>
      <c r="S94" t="s">
        <v>104</v>
      </c>
      <c r="T94"/>
      <c r="U94"/>
      <c r="V94"/>
      <c r="W94"/>
      <c r="X94"/>
      <c r="Y94"/>
      <c r="Z94"/>
      <c r="AA94"/>
      <c r="AB94"/>
      <c r="AC94"/>
      <c r="AD94"/>
      <c r="AE94"/>
      <c r="AF94">
        <v>29.2519577</v>
      </c>
      <c r="AG94">
        <v>115.8274838</v>
      </c>
      <c r="AH94" t="s">
        <v>390</v>
      </c>
      <c r="AI94">
        <v>40</v>
      </c>
      <c r="AJ94">
        <v>0.3</v>
      </c>
      <c r="AK94" t="s">
        <v>115</v>
      </c>
      <c r="AL94">
        <v>18</v>
      </c>
      <c r="AM94">
        <v>3</v>
      </c>
      <c r="AN94"/>
      <c r="AO94"/>
      <c r="AP94"/>
      <c r="AQ94" t="s">
        <v>89</v>
      </c>
      <c r="AR94" t="s">
        <v>391</v>
      </c>
      <c r="AS94" t="s">
        <v>82</v>
      </c>
      <c r="AT94" t="s">
        <v>392</v>
      </c>
      <c r="AU94" t="s">
        <v>91</v>
      </c>
      <c r="AV94" t="s">
        <v>287</v>
      </c>
      <c r="AW94" t="s">
        <v>93</v>
      </c>
      <c r="AX94" t="s">
        <v>94</v>
      </c>
      <c r="AY94" t="s">
        <v>95</v>
      </c>
      <c r="AZ94">
        <v>60.57692308</v>
      </c>
      <c r="BA94">
        <v>33.30866938</v>
      </c>
      <c r="BB94">
        <v>27</v>
      </c>
      <c r="BC94">
        <v>48.07692308</v>
      </c>
      <c r="BD94">
        <v>27.20207999</v>
      </c>
      <c r="BE94">
        <v>27</v>
      </c>
      <c r="BF94">
        <v>62.28632479</v>
      </c>
      <c r="BG94">
        <v>36.08439182</v>
      </c>
      <c r="BH94">
        <v>27</v>
      </c>
      <c r="BI94">
        <v>51.17521368</v>
      </c>
      <c r="BJ94">
        <v>18.31976816</v>
      </c>
      <c r="BK94">
        <v>27</v>
      </c>
      <c r="BL94"/>
      <c r="BM94"/>
      <c r="BN94"/>
      <c r="BO94"/>
      <c r="BP94"/>
      <c r="BQ94"/>
      <c r="BR94"/>
      <c r="BS94"/>
      <c r="BT94"/>
      <c r="BU94"/>
      <c r="BV94"/>
      <c r="BW94"/>
      <c r="BX94"/>
    </row>
    <row r="95" s="1" customFormat="1" ht="15" customHeight="1" spans="1:76">
      <c r="A95">
        <v>35</v>
      </c>
      <c r="B95">
        <v>98</v>
      </c>
      <c r="C95" t="s">
        <v>393</v>
      </c>
      <c r="D95" t="s">
        <v>394</v>
      </c>
      <c r="E95">
        <v>2002</v>
      </c>
      <c r="F95" t="s">
        <v>395</v>
      </c>
      <c r="G95" t="s">
        <v>396</v>
      </c>
      <c r="H95" t="s">
        <v>80</v>
      </c>
      <c r="I95" t="s">
        <v>397</v>
      </c>
      <c r="J95" t="s">
        <v>96</v>
      </c>
      <c r="K95" t="s">
        <v>9</v>
      </c>
      <c r="L95" t="s">
        <v>126</v>
      </c>
      <c r="M95" t="s">
        <v>242</v>
      </c>
      <c r="N95" t="s">
        <v>300</v>
      </c>
      <c r="O95" t="s">
        <v>112</v>
      </c>
      <c r="P95" t="s">
        <v>149</v>
      </c>
      <c r="Q95" t="s">
        <v>102</v>
      </c>
      <c r="R95" t="s">
        <v>103</v>
      </c>
      <c r="S95" t="s">
        <v>104</v>
      </c>
      <c r="T95">
        <v>0.2</v>
      </c>
      <c r="U95"/>
      <c r="V95">
        <f>4-0.2</f>
        <v>3.8</v>
      </c>
      <c r="W95"/>
      <c r="X95">
        <v>0.01</v>
      </c>
      <c r="Y95"/>
      <c r="Z95"/>
      <c r="AA95"/>
      <c r="AB95" t="s">
        <v>170</v>
      </c>
      <c r="AC95" t="s">
        <v>105</v>
      </c>
      <c r="AD95"/>
      <c r="AE95">
        <v>21.6</v>
      </c>
      <c r="AF95">
        <v>53.266667</v>
      </c>
      <c r="AG95">
        <v>-2.95</v>
      </c>
      <c r="AH95" t="s">
        <v>398</v>
      </c>
      <c r="AI95">
        <v>112</v>
      </c>
      <c r="AJ95">
        <v>12.56</v>
      </c>
      <c r="AK95" t="s">
        <v>115</v>
      </c>
      <c r="AL95">
        <v>48</v>
      </c>
      <c r="AM95">
        <v>4</v>
      </c>
      <c r="AN95" t="s">
        <v>117</v>
      </c>
      <c r="AO95" t="s">
        <v>262</v>
      </c>
      <c r="AP95" t="s">
        <v>399</v>
      </c>
      <c r="AQ95" t="s">
        <v>89</v>
      </c>
      <c r="AR95" t="s">
        <v>352</v>
      </c>
      <c r="AS95" t="s">
        <v>82</v>
      </c>
      <c r="AT95" t="s">
        <v>400</v>
      </c>
      <c r="AU95" t="s">
        <v>91</v>
      </c>
      <c r="AV95" t="s">
        <v>92</v>
      </c>
      <c r="AW95" t="s">
        <v>193</v>
      </c>
      <c r="AX95" t="s">
        <v>328</v>
      </c>
      <c r="AY95" t="s">
        <v>194</v>
      </c>
      <c r="AZ95">
        <v>1.681870011</v>
      </c>
      <c r="BA95">
        <v>0.076966933</v>
      </c>
      <c r="BB95">
        <v>4</v>
      </c>
      <c r="BC95">
        <v>0.05986317</v>
      </c>
      <c r="BD95">
        <v>0.062713797</v>
      </c>
      <c r="BE95">
        <v>4</v>
      </c>
      <c r="BF95">
        <v>1.887115165</v>
      </c>
      <c r="BG95">
        <v>0.091220068</v>
      </c>
      <c r="BH95">
        <v>4</v>
      </c>
      <c r="BI95">
        <v>0.037058153</v>
      </c>
      <c r="BJ95">
        <v>0.01995439</v>
      </c>
      <c r="BK95">
        <v>4</v>
      </c>
      <c r="BL95"/>
      <c r="BM95"/>
      <c r="BN95"/>
      <c r="BO95"/>
      <c r="BP95"/>
      <c r="BQ95"/>
      <c r="BR95"/>
      <c r="BS95"/>
      <c r="BT95"/>
      <c r="BU95"/>
      <c r="BV95"/>
      <c r="BW95"/>
      <c r="BX95"/>
    </row>
    <row r="96" s="1" customFormat="1" ht="15" customHeight="1" spans="1:76">
      <c r="A96">
        <v>35</v>
      </c>
      <c r="B96">
        <v>99</v>
      </c>
      <c r="C96" t="s">
        <v>393</v>
      </c>
      <c r="D96" t="s">
        <v>394</v>
      </c>
      <c r="E96">
        <v>2002</v>
      </c>
      <c r="F96" t="s">
        <v>395</v>
      </c>
      <c r="G96" t="s">
        <v>396</v>
      </c>
      <c r="H96" t="s">
        <v>80</v>
      </c>
      <c r="I96" t="s">
        <v>397</v>
      </c>
      <c r="J96" t="s">
        <v>96</v>
      </c>
      <c r="K96" t="s">
        <v>9</v>
      </c>
      <c r="L96" t="s">
        <v>126</v>
      </c>
      <c r="M96" t="s">
        <v>242</v>
      </c>
      <c r="N96" t="s">
        <v>300</v>
      </c>
      <c r="O96" t="s">
        <v>112</v>
      </c>
      <c r="P96" t="s">
        <v>149</v>
      </c>
      <c r="Q96" t="s">
        <v>102</v>
      </c>
      <c r="R96" t="s">
        <v>103</v>
      </c>
      <c r="S96" t="s">
        <v>104</v>
      </c>
      <c r="T96"/>
      <c r="U96"/>
      <c r="V96"/>
      <c r="W96"/>
      <c r="X96"/>
      <c r="Y96"/>
      <c r="Z96"/>
      <c r="AA96"/>
      <c r="AB96"/>
      <c r="AC96"/>
      <c r="AD96"/>
      <c r="AE96"/>
      <c r="AF96">
        <v>53.266667</v>
      </c>
      <c r="AG96">
        <v>-2.95</v>
      </c>
      <c r="AH96" t="s">
        <v>398</v>
      </c>
      <c r="AI96">
        <v>112</v>
      </c>
      <c r="AJ96">
        <v>12.56</v>
      </c>
      <c r="AK96" t="s">
        <v>115</v>
      </c>
      <c r="AL96">
        <v>48</v>
      </c>
      <c r="AM96">
        <v>4</v>
      </c>
      <c r="AN96" t="s">
        <v>117</v>
      </c>
      <c r="AO96" t="s">
        <v>262</v>
      </c>
      <c r="AP96" t="s">
        <v>399</v>
      </c>
      <c r="AQ96" t="s">
        <v>89</v>
      </c>
      <c r="AR96" t="s">
        <v>352</v>
      </c>
      <c r="AS96" t="s">
        <v>82</v>
      </c>
      <c r="AT96" t="s">
        <v>400</v>
      </c>
      <c r="AU96" t="s">
        <v>91</v>
      </c>
      <c r="AV96" t="s">
        <v>287</v>
      </c>
      <c r="AW96" t="s">
        <v>93</v>
      </c>
      <c r="AX96" t="s">
        <v>320</v>
      </c>
      <c r="AY96" t="s">
        <v>95</v>
      </c>
      <c r="AZ96">
        <v>1.681870011</v>
      </c>
      <c r="BA96">
        <v>0.076966933</v>
      </c>
      <c r="BB96">
        <v>4</v>
      </c>
      <c r="BC96">
        <v>0.05986317</v>
      </c>
      <c r="BD96">
        <v>0.062713797</v>
      </c>
      <c r="BE96">
        <v>4</v>
      </c>
      <c r="BF96">
        <v>0.531387665</v>
      </c>
      <c r="BG96">
        <v>0.308370044</v>
      </c>
      <c r="BH96">
        <v>4</v>
      </c>
      <c r="BI96">
        <v>0.225770925</v>
      </c>
      <c r="BJ96">
        <v>0.115638767</v>
      </c>
      <c r="BK96">
        <v>4</v>
      </c>
      <c r="BL96"/>
      <c r="BM96"/>
      <c r="BN96"/>
      <c r="BO96"/>
      <c r="BP96"/>
      <c r="BQ96"/>
      <c r="BR96"/>
      <c r="BS96"/>
      <c r="BT96"/>
      <c r="BU96"/>
      <c r="BV96"/>
      <c r="BW96"/>
      <c r="BX96"/>
    </row>
    <row r="97" s="1" customFormat="1" ht="15" customHeight="1" spans="1:76">
      <c r="A97">
        <v>35</v>
      </c>
      <c r="B97">
        <v>100</v>
      </c>
      <c r="C97" t="s">
        <v>393</v>
      </c>
      <c r="D97" t="s">
        <v>394</v>
      </c>
      <c r="E97">
        <v>2002</v>
      </c>
      <c r="F97" t="s">
        <v>395</v>
      </c>
      <c r="G97" t="s">
        <v>396</v>
      </c>
      <c r="H97" t="s">
        <v>80</v>
      </c>
      <c r="I97" t="s">
        <v>397</v>
      </c>
      <c r="J97" t="s">
        <v>96</v>
      </c>
      <c r="K97" t="s">
        <v>9</v>
      </c>
      <c r="L97" t="s">
        <v>126</v>
      </c>
      <c r="M97" t="s">
        <v>242</v>
      </c>
      <c r="N97" t="s">
        <v>300</v>
      </c>
      <c r="O97" t="s">
        <v>112</v>
      </c>
      <c r="P97" t="s">
        <v>149</v>
      </c>
      <c r="Q97" t="s">
        <v>102</v>
      </c>
      <c r="R97" t="s">
        <v>103</v>
      </c>
      <c r="S97" t="s">
        <v>104</v>
      </c>
      <c r="T97"/>
      <c r="U97"/>
      <c r="V97"/>
      <c r="W97"/>
      <c r="X97"/>
      <c r="Y97"/>
      <c r="Z97"/>
      <c r="AA97"/>
      <c r="AB97"/>
      <c r="AC97"/>
      <c r="AD97"/>
      <c r="AE97"/>
      <c r="AF97">
        <v>53.266667</v>
      </c>
      <c r="AG97">
        <v>-2.95</v>
      </c>
      <c r="AH97" t="s">
        <v>398</v>
      </c>
      <c r="AI97">
        <v>112</v>
      </c>
      <c r="AJ97">
        <v>12.56</v>
      </c>
      <c r="AK97" t="s">
        <v>115</v>
      </c>
      <c r="AL97">
        <v>48</v>
      </c>
      <c r="AM97">
        <v>4</v>
      </c>
      <c r="AN97" t="s">
        <v>117</v>
      </c>
      <c r="AO97" t="s">
        <v>262</v>
      </c>
      <c r="AP97" t="s">
        <v>399</v>
      </c>
      <c r="AQ97" t="s">
        <v>89</v>
      </c>
      <c r="AR97" t="s">
        <v>352</v>
      </c>
      <c r="AS97" t="s">
        <v>82</v>
      </c>
      <c r="AT97" t="s">
        <v>400</v>
      </c>
      <c r="AU97" t="s">
        <v>93</v>
      </c>
      <c r="AV97" t="s">
        <v>401</v>
      </c>
      <c r="AW97" t="s">
        <v>193</v>
      </c>
      <c r="AX97" t="s">
        <v>402</v>
      </c>
      <c r="AY97" t="s">
        <v>95</v>
      </c>
      <c r="AZ97">
        <v>1.681870011</v>
      </c>
      <c r="BA97">
        <v>0.076966933</v>
      </c>
      <c r="BB97">
        <v>4</v>
      </c>
      <c r="BC97">
        <v>0.531387665</v>
      </c>
      <c r="BD97">
        <v>0.308370044</v>
      </c>
      <c r="BE97">
        <v>4</v>
      </c>
      <c r="BF97">
        <v>1.887115165</v>
      </c>
      <c r="BG97">
        <v>0.091220068</v>
      </c>
      <c r="BH97">
        <v>4</v>
      </c>
      <c r="BI97">
        <v>0.988436123</v>
      </c>
      <c r="BJ97">
        <v>0.388215859</v>
      </c>
      <c r="BK97">
        <v>4</v>
      </c>
      <c r="BL97"/>
      <c r="BM97"/>
      <c r="BN97"/>
      <c r="BO97"/>
      <c r="BP97"/>
      <c r="BQ97"/>
      <c r="BR97"/>
      <c r="BS97"/>
      <c r="BT97"/>
      <c r="BU97"/>
      <c r="BV97"/>
      <c r="BW97"/>
      <c r="BX97"/>
    </row>
    <row r="98" s="1" customFormat="1" ht="15" customHeight="1" spans="1:76">
      <c r="A98">
        <v>36</v>
      </c>
      <c r="B98">
        <v>101</v>
      </c>
      <c r="C98" t="s">
        <v>403</v>
      </c>
      <c r="D98" t="s">
        <v>404</v>
      </c>
      <c r="E98">
        <v>2013</v>
      </c>
      <c r="F98" t="s">
        <v>405</v>
      </c>
      <c r="G98" t="s">
        <v>406</v>
      </c>
      <c r="H98" t="s">
        <v>198</v>
      </c>
      <c r="I98" t="s">
        <v>217</v>
      </c>
      <c r="J98" t="s">
        <v>96</v>
      </c>
      <c r="K98" t="s">
        <v>9</v>
      </c>
      <c r="L98" t="s">
        <v>126</v>
      </c>
      <c r="M98" t="s">
        <v>242</v>
      </c>
      <c r="N98" t="s">
        <v>243</v>
      </c>
      <c r="O98" t="s">
        <v>112</v>
      </c>
      <c r="P98" t="s">
        <v>149</v>
      </c>
      <c r="Q98" t="s">
        <v>102</v>
      </c>
      <c r="R98" t="s">
        <v>103</v>
      </c>
      <c r="S98" t="s">
        <v>104</v>
      </c>
      <c r="T98">
        <v>0.18</v>
      </c>
      <c r="U98"/>
      <c r="V98">
        <v>5.22</v>
      </c>
      <c r="W98"/>
      <c r="X98"/>
      <c r="Y98"/>
      <c r="Z98">
        <v>15</v>
      </c>
      <c r="AA98">
        <v>10</v>
      </c>
      <c r="AB98" t="s">
        <v>105</v>
      </c>
      <c r="AC98" t="s">
        <v>105</v>
      </c>
      <c r="AD98">
        <v>9.2</v>
      </c>
      <c r="AE98"/>
      <c r="AF98">
        <v>51.98507</v>
      </c>
      <c r="AG98">
        <v>5.66401</v>
      </c>
      <c r="AH98" t="s">
        <v>407</v>
      </c>
      <c r="AI98">
        <v>12</v>
      </c>
      <c r="AJ98">
        <v>300</v>
      </c>
      <c r="AK98" t="s">
        <v>378</v>
      </c>
      <c r="AL98">
        <v>96</v>
      </c>
      <c r="AM98">
        <v>6</v>
      </c>
      <c r="AN98"/>
      <c r="AO98"/>
      <c r="AP98"/>
      <c r="AQ98" t="s">
        <v>185</v>
      </c>
      <c r="AR98" t="s">
        <v>186</v>
      </c>
      <c r="AS98" t="s">
        <v>82</v>
      </c>
      <c r="AT98" t="s">
        <v>408</v>
      </c>
      <c r="AU98" t="s">
        <v>230</v>
      </c>
      <c r="AV98" t="s">
        <v>231</v>
      </c>
      <c r="AW98" t="s">
        <v>91</v>
      </c>
      <c r="AX98" t="s">
        <v>92</v>
      </c>
      <c r="AY98" t="s">
        <v>353</v>
      </c>
      <c r="AZ98">
        <v>0.001548155</v>
      </c>
      <c r="BA98">
        <v>0.028926468</v>
      </c>
      <c r="BB98">
        <v>6</v>
      </c>
      <c r="BC98">
        <v>-0.000756076</v>
      </c>
      <c r="BD98">
        <v>0.014815996</v>
      </c>
      <c r="BE98">
        <v>6</v>
      </c>
      <c r="BF98">
        <v>-0.011125113</v>
      </c>
      <c r="BG98">
        <v>0.016932566</v>
      </c>
      <c r="BH98">
        <v>6</v>
      </c>
      <c r="BI98">
        <v>-0.014149415</v>
      </c>
      <c r="BJ98">
        <v>0.023282279</v>
      </c>
      <c r="BK98">
        <v>6</v>
      </c>
      <c r="BL98"/>
      <c r="BM98"/>
      <c r="BN98"/>
      <c r="BO98"/>
      <c r="BP98"/>
      <c r="BQ98"/>
      <c r="BR98"/>
      <c r="BS98"/>
      <c r="BT98"/>
      <c r="BU98"/>
      <c r="BV98"/>
      <c r="BW98"/>
      <c r="BX98"/>
    </row>
    <row r="99" s="1" customFormat="1" ht="15" customHeight="1" spans="1:76">
      <c r="A99">
        <v>36</v>
      </c>
      <c r="B99">
        <v>102</v>
      </c>
      <c r="C99" t="s">
        <v>403</v>
      </c>
      <c r="D99" t="s">
        <v>404</v>
      </c>
      <c r="E99">
        <v>2013</v>
      </c>
      <c r="F99" t="s">
        <v>405</v>
      </c>
      <c r="G99" t="s">
        <v>406</v>
      </c>
      <c r="H99" t="s">
        <v>198</v>
      </c>
      <c r="I99" t="s">
        <v>217</v>
      </c>
      <c r="J99" t="s">
        <v>96</v>
      </c>
      <c r="K99" t="s">
        <v>9</v>
      </c>
      <c r="L99" t="s">
        <v>126</v>
      </c>
      <c r="M99" t="s">
        <v>242</v>
      </c>
      <c r="N99" t="s">
        <v>243</v>
      </c>
      <c r="O99" t="s">
        <v>112</v>
      </c>
      <c r="P99" t="s">
        <v>149</v>
      </c>
      <c r="Q99" t="s">
        <v>102</v>
      </c>
      <c r="R99" t="s">
        <v>103</v>
      </c>
      <c r="S99" t="s">
        <v>104</v>
      </c>
      <c r="T99">
        <v>0.18</v>
      </c>
      <c r="U99"/>
      <c r="V99">
        <v>5.22</v>
      </c>
      <c r="W99"/>
      <c r="X99"/>
      <c r="Y99"/>
      <c r="Z99">
        <v>15</v>
      </c>
      <c r="AA99">
        <v>10</v>
      </c>
      <c r="AB99" t="s">
        <v>105</v>
      </c>
      <c r="AC99" t="s">
        <v>105</v>
      </c>
      <c r="AD99">
        <v>9.2</v>
      </c>
      <c r="AE99"/>
      <c r="AF99">
        <v>51.98507</v>
      </c>
      <c r="AG99">
        <v>5.66401</v>
      </c>
      <c r="AH99" t="s">
        <v>407</v>
      </c>
      <c r="AI99">
        <v>12</v>
      </c>
      <c r="AJ99">
        <v>300</v>
      </c>
      <c r="AK99" t="s">
        <v>378</v>
      </c>
      <c r="AL99">
        <v>96</v>
      </c>
      <c r="AM99">
        <v>6</v>
      </c>
      <c r="AN99"/>
      <c r="AO99"/>
      <c r="AP99"/>
      <c r="AQ99" t="s">
        <v>185</v>
      </c>
      <c r="AR99" t="s">
        <v>186</v>
      </c>
      <c r="AS99" t="s">
        <v>82</v>
      </c>
      <c r="AT99" t="s">
        <v>408</v>
      </c>
      <c r="AU99" t="s">
        <v>221</v>
      </c>
      <c r="AV99" t="s">
        <v>222</v>
      </c>
      <c r="AW99" t="s">
        <v>91</v>
      </c>
      <c r="AX99" t="s">
        <v>92</v>
      </c>
      <c r="AY99" t="s">
        <v>223</v>
      </c>
      <c r="AZ99">
        <v>0.001548155</v>
      </c>
      <c r="BA99">
        <v>0.028926468</v>
      </c>
      <c r="BB99">
        <v>6</v>
      </c>
      <c r="BC99">
        <v>-0.011269127</v>
      </c>
      <c r="BD99">
        <v>0.028926468</v>
      </c>
      <c r="BE99">
        <v>6</v>
      </c>
      <c r="BF99">
        <v>-0.011125113</v>
      </c>
      <c r="BG99">
        <v>0.016932566</v>
      </c>
      <c r="BH99">
        <v>6</v>
      </c>
      <c r="BI99">
        <v>-0.095661566</v>
      </c>
      <c r="BJ99">
        <v>0.043036939</v>
      </c>
      <c r="BK99">
        <v>6</v>
      </c>
      <c r="BL99"/>
      <c r="BM99"/>
      <c r="BN99"/>
      <c r="BO99"/>
      <c r="BP99"/>
      <c r="BQ99"/>
      <c r="BR99"/>
      <c r="BS99"/>
      <c r="BT99"/>
      <c r="BU99"/>
      <c r="BV99"/>
      <c r="BW99"/>
      <c r="BX99"/>
    </row>
    <row r="100" s="1" customFormat="1" ht="15" customHeight="1" spans="1:76">
      <c r="A100">
        <v>36</v>
      </c>
      <c r="B100">
        <v>103</v>
      </c>
      <c r="C100" t="s">
        <v>403</v>
      </c>
      <c r="D100" t="s">
        <v>404</v>
      </c>
      <c r="E100">
        <v>2013</v>
      </c>
      <c r="F100" t="s">
        <v>405</v>
      </c>
      <c r="G100" t="s">
        <v>406</v>
      </c>
      <c r="H100" t="s">
        <v>198</v>
      </c>
      <c r="I100" t="s">
        <v>217</v>
      </c>
      <c r="J100" t="s">
        <v>96</v>
      </c>
      <c r="K100" t="s">
        <v>9</v>
      </c>
      <c r="L100" t="s">
        <v>126</v>
      </c>
      <c r="M100" t="s">
        <v>242</v>
      </c>
      <c r="N100" t="s">
        <v>243</v>
      </c>
      <c r="O100" t="s">
        <v>112</v>
      </c>
      <c r="P100" t="s">
        <v>149</v>
      </c>
      <c r="Q100" t="s">
        <v>102</v>
      </c>
      <c r="R100" t="s">
        <v>103</v>
      </c>
      <c r="S100" t="s">
        <v>104</v>
      </c>
      <c r="T100">
        <v>0.18</v>
      </c>
      <c r="U100"/>
      <c r="V100">
        <v>5.22</v>
      </c>
      <c r="W100"/>
      <c r="X100"/>
      <c r="Y100"/>
      <c r="Z100">
        <v>15</v>
      </c>
      <c r="AA100">
        <v>10</v>
      </c>
      <c r="AB100" t="s">
        <v>105</v>
      </c>
      <c r="AC100" t="s">
        <v>105</v>
      </c>
      <c r="AD100">
        <v>9.2</v>
      </c>
      <c r="AE100"/>
      <c r="AF100">
        <v>51.98507</v>
      </c>
      <c r="AG100">
        <v>5.66401</v>
      </c>
      <c r="AH100" t="s">
        <v>407</v>
      </c>
      <c r="AI100">
        <v>12</v>
      </c>
      <c r="AJ100">
        <v>300</v>
      </c>
      <c r="AK100" t="s">
        <v>378</v>
      </c>
      <c r="AL100">
        <v>96</v>
      </c>
      <c r="AM100">
        <v>6</v>
      </c>
      <c r="AN100"/>
      <c r="AO100"/>
      <c r="AP100"/>
      <c r="AQ100" t="s">
        <v>185</v>
      </c>
      <c r="AR100" t="s">
        <v>186</v>
      </c>
      <c r="AS100" t="s">
        <v>82</v>
      </c>
      <c r="AT100" t="s">
        <v>408</v>
      </c>
      <c r="AU100" t="s">
        <v>230</v>
      </c>
      <c r="AV100" t="s">
        <v>231</v>
      </c>
      <c r="AW100" t="s">
        <v>221</v>
      </c>
      <c r="AX100" t="s">
        <v>409</v>
      </c>
      <c r="AY100" t="s">
        <v>410</v>
      </c>
      <c r="AZ100">
        <v>0.001548155</v>
      </c>
      <c r="BA100">
        <v>0.028926468</v>
      </c>
      <c r="BB100">
        <v>6</v>
      </c>
      <c r="BC100">
        <v>-0.000756076</v>
      </c>
      <c r="BD100">
        <v>0.014815996</v>
      </c>
      <c r="BE100">
        <v>6</v>
      </c>
      <c r="BF100">
        <v>-0.011269127</v>
      </c>
      <c r="BG100">
        <v>0.028926468</v>
      </c>
      <c r="BH100">
        <v>6</v>
      </c>
      <c r="BI100">
        <v>-0.00320432</v>
      </c>
      <c r="BJ100">
        <v>0.013404948</v>
      </c>
      <c r="BK100">
        <v>6</v>
      </c>
      <c r="BL100"/>
      <c r="BM100"/>
      <c r="BN100"/>
      <c r="BO100"/>
      <c r="BP100"/>
      <c r="BQ100"/>
      <c r="BR100"/>
      <c r="BS100"/>
      <c r="BT100"/>
      <c r="BU100"/>
      <c r="BV100"/>
      <c r="BW100"/>
      <c r="BX100"/>
    </row>
    <row r="101" s="1" customFormat="1" ht="15" customHeight="1" spans="1:76">
      <c r="A101">
        <v>36</v>
      </c>
      <c r="B101">
        <v>104</v>
      </c>
      <c r="C101" t="s">
        <v>403</v>
      </c>
      <c r="D101" t="s">
        <v>404</v>
      </c>
      <c r="E101">
        <v>2013</v>
      </c>
      <c r="F101" t="s">
        <v>405</v>
      </c>
      <c r="G101" t="s">
        <v>406</v>
      </c>
      <c r="H101" t="s">
        <v>198</v>
      </c>
      <c r="I101" t="s">
        <v>217</v>
      </c>
      <c r="J101" t="s">
        <v>96</v>
      </c>
      <c r="K101" t="s">
        <v>9</v>
      </c>
      <c r="L101" t="s">
        <v>126</v>
      </c>
      <c r="M101" t="s">
        <v>242</v>
      </c>
      <c r="N101" t="s">
        <v>243</v>
      </c>
      <c r="O101" t="s">
        <v>112</v>
      </c>
      <c r="P101" t="s">
        <v>149</v>
      </c>
      <c r="Q101" t="s">
        <v>102</v>
      </c>
      <c r="R101" t="s">
        <v>103</v>
      </c>
      <c r="S101" t="s">
        <v>104</v>
      </c>
      <c r="T101">
        <v>0.1404</v>
      </c>
      <c r="U101"/>
      <c r="V101">
        <v>4.0626</v>
      </c>
      <c r="W101"/>
      <c r="X101"/>
      <c r="Y101"/>
      <c r="Z101">
        <v>15</v>
      </c>
      <c r="AA101">
        <v>5</v>
      </c>
      <c r="AB101" t="s">
        <v>105</v>
      </c>
      <c r="AC101" t="s">
        <v>105</v>
      </c>
      <c r="AD101">
        <v>9.2</v>
      </c>
      <c r="AE101"/>
      <c r="AF101">
        <v>51.98507</v>
      </c>
      <c r="AG101">
        <v>5.66401</v>
      </c>
      <c r="AH101" t="s">
        <v>407</v>
      </c>
      <c r="AI101">
        <v>12</v>
      </c>
      <c r="AJ101">
        <v>300</v>
      </c>
      <c r="AK101" t="s">
        <v>378</v>
      </c>
      <c r="AL101">
        <v>96</v>
      </c>
      <c r="AM101">
        <v>6</v>
      </c>
      <c r="AN101"/>
      <c r="AO101"/>
      <c r="AP101"/>
      <c r="AQ101" t="s">
        <v>185</v>
      </c>
      <c r="AR101" t="s">
        <v>186</v>
      </c>
      <c r="AS101" t="s">
        <v>82</v>
      </c>
      <c r="AT101" t="s">
        <v>408</v>
      </c>
      <c r="AU101" t="s">
        <v>230</v>
      </c>
      <c r="AV101" t="s">
        <v>231</v>
      </c>
      <c r="AW101" t="s">
        <v>119</v>
      </c>
      <c r="AX101" t="s">
        <v>175</v>
      </c>
      <c r="AY101" t="s">
        <v>411</v>
      </c>
      <c r="AZ101">
        <v>0.001548155</v>
      </c>
      <c r="BA101">
        <v>0.028926468</v>
      </c>
      <c r="BB101">
        <v>6</v>
      </c>
      <c r="BC101">
        <v>-0.000756076</v>
      </c>
      <c r="BD101">
        <v>0.014815996</v>
      </c>
      <c r="BE101">
        <v>6</v>
      </c>
      <c r="BF101">
        <v>0.010765077</v>
      </c>
      <c r="BG101">
        <v>0.056441888</v>
      </c>
      <c r="BH101">
        <v>6</v>
      </c>
      <c r="BI101">
        <v>0.010189019</v>
      </c>
      <c r="BJ101">
        <v>0.028220944</v>
      </c>
      <c r="BK101">
        <v>6</v>
      </c>
      <c r="BL101"/>
      <c r="BM101"/>
      <c r="BN101"/>
      <c r="BO101"/>
      <c r="BP101"/>
      <c r="BQ101"/>
      <c r="BR101"/>
      <c r="BS101"/>
      <c r="BT101"/>
      <c r="BU101"/>
      <c r="BV101"/>
      <c r="BW101"/>
      <c r="BX101"/>
    </row>
    <row r="102" s="1" customFormat="1" ht="15" customHeight="1" spans="1:76">
      <c r="A102">
        <v>36</v>
      </c>
      <c r="B102">
        <v>105</v>
      </c>
      <c r="C102" t="s">
        <v>403</v>
      </c>
      <c r="D102" t="s">
        <v>404</v>
      </c>
      <c r="E102">
        <v>2013</v>
      </c>
      <c r="F102" t="s">
        <v>405</v>
      </c>
      <c r="G102" t="s">
        <v>406</v>
      </c>
      <c r="H102" t="s">
        <v>198</v>
      </c>
      <c r="I102" t="s">
        <v>217</v>
      </c>
      <c r="J102" t="s">
        <v>96</v>
      </c>
      <c r="K102" t="s">
        <v>9</v>
      </c>
      <c r="L102" t="s">
        <v>126</v>
      </c>
      <c r="M102" t="s">
        <v>242</v>
      </c>
      <c r="N102" t="s">
        <v>243</v>
      </c>
      <c r="O102" t="s">
        <v>112</v>
      </c>
      <c r="P102" t="s">
        <v>149</v>
      </c>
      <c r="Q102" t="s">
        <v>102</v>
      </c>
      <c r="R102" t="s">
        <v>103</v>
      </c>
      <c r="S102" t="s">
        <v>104</v>
      </c>
      <c r="T102">
        <v>0.1404</v>
      </c>
      <c r="U102"/>
      <c r="V102">
        <v>4.0626</v>
      </c>
      <c r="W102"/>
      <c r="X102"/>
      <c r="Y102"/>
      <c r="Z102">
        <v>15</v>
      </c>
      <c r="AA102">
        <v>5</v>
      </c>
      <c r="AB102" t="s">
        <v>105</v>
      </c>
      <c r="AC102" t="s">
        <v>105</v>
      </c>
      <c r="AD102"/>
      <c r="AE102"/>
      <c r="AF102">
        <v>51.98507</v>
      </c>
      <c r="AG102">
        <v>5.66401</v>
      </c>
      <c r="AH102" t="s">
        <v>407</v>
      </c>
      <c r="AI102">
        <v>12</v>
      </c>
      <c r="AJ102">
        <v>300</v>
      </c>
      <c r="AK102" t="s">
        <v>378</v>
      </c>
      <c r="AL102">
        <v>96</v>
      </c>
      <c r="AM102">
        <v>6</v>
      </c>
      <c r="AN102"/>
      <c r="AO102"/>
      <c r="AP102"/>
      <c r="AQ102" t="s">
        <v>185</v>
      </c>
      <c r="AR102" t="s">
        <v>186</v>
      </c>
      <c r="AS102" t="s">
        <v>82</v>
      </c>
      <c r="AT102" t="s">
        <v>408</v>
      </c>
      <c r="AU102" t="s">
        <v>221</v>
      </c>
      <c r="AV102" t="s">
        <v>222</v>
      </c>
      <c r="AW102" t="s">
        <v>119</v>
      </c>
      <c r="AX102" t="s">
        <v>175</v>
      </c>
      <c r="AY102" t="s">
        <v>412</v>
      </c>
      <c r="AZ102">
        <v>0.001548155</v>
      </c>
      <c r="BA102">
        <v>0.028926468</v>
      </c>
      <c r="BB102">
        <v>6</v>
      </c>
      <c r="BC102">
        <v>-0.011269127</v>
      </c>
      <c r="BD102">
        <v>0.028926468</v>
      </c>
      <c r="BE102">
        <v>6</v>
      </c>
      <c r="BF102">
        <v>0.010765077</v>
      </c>
      <c r="BG102">
        <v>0.056441888</v>
      </c>
      <c r="BH102">
        <v>6</v>
      </c>
      <c r="BI102">
        <v>-0.001476148</v>
      </c>
      <c r="BJ102">
        <v>0.013404948</v>
      </c>
      <c r="BK102">
        <v>6</v>
      </c>
      <c r="BL102"/>
      <c r="BM102"/>
      <c r="BN102"/>
      <c r="BO102"/>
      <c r="BP102"/>
      <c r="BQ102"/>
      <c r="BR102"/>
      <c r="BS102"/>
      <c r="BT102"/>
      <c r="BU102"/>
      <c r="BV102"/>
      <c r="BW102"/>
      <c r="BX102"/>
    </row>
    <row r="103" s="1" customFormat="1" ht="15" customHeight="1" spans="1:76">
      <c r="A103">
        <v>36</v>
      </c>
      <c r="B103">
        <v>106</v>
      </c>
      <c r="C103" t="s">
        <v>403</v>
      </c>
      <c r="D103" t="s">
        <v>404</v>
      </c>
      <c r="E103">
        <v>2013</v>
      </c>
      <c r="F103" t="s">
        <v>405</v>
      </c>
      <c r="G103" t="s">
        <v>406</v>
      </c>
      <c r="H103" t="s">
        <v>198</v>
      </c>
      <c r="I103" t="s">
        <v>217</v>
      </c>
      <c r="J103" t="s">
        <v>96</v>
      </c>
      <c r="K103" t="s">
        <v>9</v>
      </c>
      <c r="L103" t="s">
        <v>126</v>
      </c>
      <c r="M103" t="s">
        <v>242</v>
      </c>
      <c r="N103" t="s">
        <v>243</v>
      </c>
      <c r="O103" t="s">
        <v>112</v>
      </c>
      <c r="P103" t="s">
        <v>149</v>
      </c>
      <c r="Q103" t="s">
        <v>102</v>
      </c>
      <c r="R103" t="s">
        <v>103</v>
      </c>
      <c r="S103" t="s">
        <v>104</v>
      </c>
      <c r="T103">
        <v>0.18</v>
      </c>
      <c r="U103"/>
      <c r="V103">
        <v>5.22</v>
      </c>
      <c r="W103"/>
      <c r="X103"/>
      <c r="Y103"/>
      <c r="Z103">
        <v>15</v>
      </c>
      <c r="AA103">
        <v>10</v>
      </c>
      <c r="AB103" t="s">
        <v>105</v>
      </c>
      <c r="AC103" t="s">
        <v>105</v>
      </c>
      <c r="AD103"/>
      <c r="AE103"/>
      <c r="AF103">
        <v>51.98507</v>
      </c>
      <c r="AG103">
        <v>5.66401</v>
      </c>
      <c r="AH103" t="s">
        <v>407</v>
      </c>
      <c r="AI103">
        <v>12</v>
      </c>
      <c r="AJ103">
        <v>300</v>
      </c>
      <c r="AK103" t="s">
        <v>378</v>
      </c>
      <c r="AL103">
        <v>96</v>
      </c>
      <c r="AM103">
        <v>6</v>
      </c>
      <c r="AN103"/>
      <c r="AO103"/>
      <c r="AP103"/>
      <c r="AQ103" t="s">
        <v>185</v>
      </c>
      <c r="AR103" t="s">
        <v>186</v>
      </c>
      <c r="AS103" t="s">
        <v>82</v>
      </c>
      <c r="AT103" t="s">
        <v>408</v>
      </c>
      <c r="AU103" t="s">
        <v>119</v>
      </c>
      <c r="AV103" t="s">
        <v>344</v>
      </c>
      <c r="AW103" t="s">
        <v>91</v>
      </c>
      <c r="AX103" t="s">
        <v>92</v>
      </c>
      <c r="AY103" t="s">
        <v>163</v>
      </c>
      <c r="AZ103">
        <v>0.001548155</v>
      </c>
      <c r="BA103">
        <v>0.028926468</v>
      </c>
      <c r="BB103">
        <v>6</v>
      </c>
      <c r="BC103">
        <v>0.010765077</v>
      </c>
      <c r="BD103">
        <v>0.056441888</v>
      </c>
      <c r="BE103">
        <v>6</v>
      </c>
      <c r="BF103">
        <v>-0.011125113</v>
      </c>
      <c r="BG103">
        <v>0.016932566</v>
      </c>
      <c r="BH103">
        <v>6</v>
      </c>
      <c r="BI103">
        <v>-0.007956796</v>
      </c>
      <c r="BJ103">
        <v>0.007055236</v>
      </c>
      <c r="BK103">
        <v>6</v>
      </c>
      <c r="BL103"/>
      <c r="BM103"/>
      <c r="BN103"/>
      <c r="BO103"/>
      <c r="BP103"/>
      <c r="BQ103"/>
      <c r="BR103"/>
      <c r="BS103"/>
      <c r="BT103"/>
      <c r="BU103"/>
      <c r="BV103"/>
      <c r="BW103"/>
      <c r="BX103"/>
    </row>
    <row r="104" s="1" customFormat="1" ht="15" customHeight="1" spans="1:76">
      <c r="A104">
        <v>37</v>
      </c>
      <c r="B104">
        <v>107</v>
      </c>
      <c r="C104" t="s">
        <v>413</v>
      </c>
      <c r="D104" t="s">
        <v>414</v>
      </c>
      <c r="E104">
        <v>2020</v>
      </c>
      <c r="F104" t="s">
        <v>317</v>
      </c>
      <c r="G104" t="s">
        <v>415</v>
      </c>
      <c r="H104" t="s">
        <v>80</v>
      </c>
      <c r="I104" t="s">
        <v>110</v>
      </c>
      <c r="J104" t="s">
        <v>96</v>
      </c>
      <c r="K104" t="s">
        <v>9</v>
      </c>
      <c r="L104" t="s">
        <v>126</v>
      </c>
      <c r="M104" t="s">
        <v>168</v>
      </c>
      <c r="N104" t="s">
        <v>268</v>
      </c>
      <c r="O104" t="s">
        <v>112</v>
      </c>
      <c r="P104" t="s">
        <v>149</v>
      </c>
      <c r="Q104" t="s">
        <v>210</v>
      </c>
      <c r="R104" t="s">
        <v>103</v>
      </c>
      <c r="S104" t="s">
        <v>104</v>
      </c>
      <c r="T104"/>
      <c r="U104"/>
      <c r="V104"/>
      <c r="W104"/>
      <c r="X104"/>
      <c r="Y104"/>
      <c r="Z104"/>
      <c r="AA104"/>
      <c r="AB104"/>
      <c r="AC104"/>
      <c r="AD104"/>
      <c r="AE104"/>
      <c r="AF104">
        <v>31.56887</v>
      </c>
      <c r="AG104">
        <v>120.28857</v>
      </c>
      <c r="AH104"/>
      <c r="AI104"/>
      <c r="AJ104">
        <v>0.70224</v>
      </c>
      <c r="AK104" t="s">
        <v>115</v>
      </c>
      <c r="AL104">
        <v>16</v>
      </c>
      <c r="AM104">
        <v>4</v>
      </c>
      <c r="AN104" t="s">
        <v>87</v>
      </c>
      <c r="AO104" t="s">
        <v>262</v>
      </c>
      <c r="AP104" t="s">
        <v>271</v>
      </c>
      <c r="AQ104" t="s">
        <v>185</v>
      </c>
      <c r="AR104" t="s">
        <v>186</v>
      </c>
      <c r="AS104" t="s">
        <v>82</v>
      </c>
      <c r="AT104" t="s">
        <v>416</v>
      </c>
      <c r="AU104" t="s">
        <v>93</v>
      </c>
      <c r="AV104" t="s">
        <v>417</v>
      </c>
      <c r="AW104" t="s">
        <v>93</v>
      </c>
      <c r="AX104" t="s">
        <v>320</v>
      </c>
      <c r="AY104" t="s">
        <v>95</v>
      </c>
      <c r="AZ104">
        <v>28.9701897</v>
      </c>
      <c r="BA104">
        <v>2.393857272</v>
      </c>
      <c r="BB104">
        <v>60</v>
      </c>
      <c r="BC104">
        <v>44.55284553</v>
      </c>
      <c r="BD104">
        <v>2.890695574</v>
      </c>
      <c r="BE104">
        <v>60</v>
      </c>
      <c r="BF104">
        <v>20.11743451</v>
      </c>
      <c r="BG104">
        <v>1.445347787</v>
      </c>
      <c r="BH104">
        <v>60</v>
      </c>
      <c r="BI104">
        <v>39.53929539</v>
      </c>
      <c r="BJ104">
        <v>3.387533875</v>
      </c>
      <c r="BK104">
        <v>60</v>
      </c>
      <c r="BL104"/>
      <c r="BM104"/>
      <c r="BN104"/>
      <c r="BO104"/>
      <c r="BP104"/>
      <c r="BQ104"/>
      <c r="BR104"/>
      <c r="BS104"/>
      <c r="BT104"/>
      <c r="BU104"/>
      <c r="BV104"/>
      <c r="BW104"/>
      <c r="BX104"/>
    </row>
    <row r="105" s="1" customFormat="1" ht="15" customHeight="1" spans="1:76">
      <c r="A105">
        <v>37</v>
      </c>
      <c r="B105">
        <v>108</v>
      </c>
      <c r="C105" t="s">
        <v>413</v>
      </c>
      <c r="D105" t="s">
        <v>414</v>
      </c>
      <c r="E105">
        <v>2020</v>
      </c>
      <c r="F105" t="s">
        <v>317</v>
      </c>
      <c r="G105" t="s">
        <v>415</v>
      </c>
      <c r="H105" t="s">
        <v>80</v>
      </c>
      <c r="I105" t="s">
        <v>110</v>
      </c>
      <c r="J105" t="s">
        <v>96</v>
      </c>
      <c r="K105" t="s">
        <v>9</v>
      </c>
      <c r="L105" t="s">
        <v>126</v>
      </c>
      <c r="M105" t="s">
        <v>168</v>
      </c>
      <c r="N105" t="s">
        <v>268</v>
      </c>
      <c r="O105" t="s">
        <v>112</v>
      </c>
      <c r="P105" t="s">
        <v>149</v>
      </c>
      <c r="Q105" t="s">
        <v>210</v>
      </c>
      <c r="R105" t="s">
        <v>103</v>
      </c>
      <c r="S105" t="s">
        <v>104</v>
      </c>
      <c r="T105"/>
      <c r="U105"/>
      <c r="V105"/>
      <c r="W105"/>
      <c r="X105"/>
      <c r="Y105"/>
      <c r="Z105"/>
      <c r="AA105"/>
      <c r="AB105"/>
      <c r="AC105"/>
      <c r="AD105"/>
      <c r="AE105"/>
      <c r="AF105">
        <v>31.56887</v>
      </c>
      <c r="AG105">
        <v>120.28857</v>
      </c>
      <c r="AH105"/>
      <c r="AI105"/>
      <c r="AJ105">
        <v>0.70224</v>
      </c>
      <c r="AK105" t="s">
        <v>115</v>
      </c>
      <c r="AL105">
        <v>16</v>
      </c>
      <c r="AM105">
        <v>4</v>
      </c>
      <c r="AN105" t="s">
        <v>87</v>
      </c>
      <c r="AO105" t="s">
        <v>262</v>
      </c>
      <c r="AP105" t="s">
        <v>271</v>
      </c>
      <c r="AQ105" t="s">
        <v>89</v>
      </c>
      <c r="AR105" t="s">
        <v>135</v>
      </c>
      <c r="AS105" t="s">
        <v>82</v>
      </c>
      <c r="AT105" t="s">
        <v>90</v>
      </c>
      <c r="AU105" t="s">
        <v>93</v>
      </c>
      <c r="AV105" t="s">
        <v>417</v>
      </c>
      <c r="AW105" t="s">
        <v>93</v>
      </c>
      <c r="AX105" t="s">
        <v>320</v>
      </c>
      <c r="AY105" t="s">
        <v>95</v>
      </c>
      <c r="AZ105">
        <v>38.07106599</v>
      </c>
      <c r="BA105">
        <v>2.111675127</v>
      </c>
      <c r="BB105">
        <v>60</v>
      </c>
      <c r="BC105">
        <v>55.85786802</v>
      </c>
      <c r="BD105">
        <v>3.492385787</v>
      </c>
      <c r="BE105">
        <v>60</v>
      </c>
      <c r="BF105">
        <v>33.36040609</v>
      </c>
      <c r="BG105">
        <v>1.421319797</v>
      </c>
      <c r="BH105">
        <v>60</v>
      </c>
      <c r="BI105">
        <v>50.09137056</v>
      </c>
      <c r="BJ105">
        <v>4.710659898</v>
      </c>
      <c r="BK105">
        <v>60</v>
      </c>
      <c r="BL105"/>
      <c r="BM105"/>
      <c r="BN105"/>
      <c r="BO105"/>
      <c r="BP105"/>
      <c r="BQ105"/>
      <c r="BR105"/>
      <c r="BS105"/>
      <c r="BT105"/>
      <c r="BU105"/>
      <c r="BV105"/>
      <c r="BW105"/>
      <c r="BX105"/>
    </row>
    <row r="106" s="1" customFormat="1" ht="15" customHeight="1" spans="1:76">
      <c r="A106">
        <v>38</v>
      </c>
      <c r="B106">
        <v>109</v>
      </c>
      <c r="C106" t="s">
        <v>418</v>
      </c>
      <c r="D106" t="s">
        <v>419</v>
      </c>
      <c r="E106">
        <v>2012</v>
      </c>
      <c r="F106" t="s">
        <v>420</v>
      </c>
      <c r="G106" t="s">
        <v>421</v>
      </c>
      <c r="H106" t="s">
        <v>80</v>
      </c>
      <c r="I106" t="s">
        <v>110</v>
      </c>
      <c r="J106" t="s">
        <v>96</v>
      </c>
      <c r="K106" t="s">
        <v>9</v>
      </c>
      <c r="L106" t="s">
        <v>126</v>
      </c>
      <c r="M106" t="s">
        <v>168</v>
      </c>
      <c r="N106" t="s">
        <v>268</v>
      </c>
      <c r="O106" t="s">
        <v>112</v>
      </c>
      <c r="P106" t="s">
        <v>149</v>
      </c>
      <c r="Q106" t="s">
        <v>210</v>
      </c>
      <c r="R106" t="s">
        <v>103</v>
      </c>
      <c r="S106" t="s">
        <v>104</v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 t="s">
        <v>130</v>
      </c>
      <c r="AI106">
        <v>15</v>
      </c>
      <c r="AJ106">
        <v>0.1</v>
      </c>
      <c r="AK106" t="s">
        <v>115</v>
      </c>
      <c r="AL106">
        <v>16</v>
      </c>
      <c r="AM106">
        <v>4</v>
      </c>
      <c r="AN106" t="s">
        <v>117</v>
      </c>
      <c r="AO106" t="s">
        <v>270</v>
      </c>
      <c r="AP106"/>
      <c r="AQ106" t="s">
        <v>185</v>
      </c>
      <c r="AR106" t="s">
        <v>186</v>
      </c>
      <c r="AS106" t="s">
        <v>82</v>
      </c>
      <c r="AT106" t="s">
        <v>422</v>
      </c>
      <c r="AU106" t="s">
        <v>93</v>
      </c>
      <c r="AV106" t="s">
        <v>423</v>
      </c>
      <c r="AW106" t="s">
        <v>93</v>
      </c>
      <c r="AX106" t="s">
        <v>94</v>
      </c>
      <c r="AY106" t="s">
        <v>95</v>
      </c>
      <c r="AZ106">
        <v>63.33843798</v>
      </c>
      <c r="BA106">
        <v>6.615620214</v>
      </c>
      <c r="BB106">
        <v>40</v>
      </c>
      <c r="BC106">
        <v>37.48851455</v>
      </c>
      <c r="BD106">
        <v>3.185298622</v>
      </c>
      <c r="BE106">
        <v>40</v>
      </c>
      <c r="BF106">
        <v>74.24196018</v>
      </c>
      <c r="BG106">
        <v>8.08575804</v>
      </c>
      <c r="BH106">
        <v>40</v>
      </c>
      <c r="BI106">
        <v>47.41194487</v>
      </c>
      <c r="BJ106">
        <v>4.532924962</v>
      </c>
      <c r="BK106">
        <v>40</v>
      </c>
      <c r="BL106"/>
      <c r="BM106"/>
      <c r="BN106"/>
      <c r="BO106"/>
      <c r="BP106"/>
      <c r="BQ106"/>
      <c r="BR106"/>
      <c r="BS106"/>
      <c r="BT106"/>
      <c r="BU106"/>
      <c r="BV106"/>
      <c r="BW106"/>
      <c r="BX106"/>
    </row>
    <row r="107" s="1" customFormat="1" ht="15" customHeight="1" spans="1:76">
      <c r="A107">
        <v>40</v>
      </c>
      <c r="B107">
        <v>110</v>
      </c>
      <c r="C107" t="s">
        <v>424</v>
      </c>
      <c r="D107" t="s">
        <v>425</v>
      </c>
      <c r="E107">
        <v>2012</v>
      </c>
      <c r="F107" t="s">
        <v>426</v>
      </c>
      <c r="G107" t="s">
        <v>253</v>
      </c>
      <c r="H107" t="s">
        <v>80</v>
      </c>
      <c r="I107" t="s">
        <v>427</v>
      </c>
      <c r="J107" t="s">
        <v>96</v>
      </c>
      <c r="K107" t="s">
        <v>9</v>
      </c>
      <c r="L107" t="s">
        <v>146</v>
      </c>
      <c r="M107" t="s">
        <v>428</v>
      </c>
      <c r="N107" t="s">
        <v>429</v>
      </c>
      <c r="O107" t="s">
        <v>112</v>
      </c>
      <c r="P107" t="s">
        <v>149</v>
      </c>
      <c r="Q107" t="s">
        <v>102</v>
      </c>
      <c r="R107" t="s">
        <v>103</v>
      </c>
      <c r="S107" t="s">
        <v>104</v>
      </c>
      <c r="T107"/>
      <c r="U107"/>
      <c r="V107"/>
      <c r="W107"/>
      <c r="X107"/>
      <c r="Y107"/>
      <c r="Z107"/>
      <c r="AA107"/>
      <c r="AB107"/>
      <c r="AC107"/>
      <c r="AD107"/>
      <c r="AE107"/>
      <c r="AF107">
        <v>39.8229347</v>
      </c>
      <c r="AG107">
        <v>32.8209859</v>
      </c>
      <c r="AH107" t="s">
        <v>430</v>
      </c>
      <c r="AI107">
        <v>116</v>
      </c>
      <c r="AJ107">
        <v>11.304</v>
      </c>
      <c r="AK107" t="s">
        <v>431</v>
      </c>
      <c r="AL107">
        <v>8</v>
      </c>
      <c r="AM107">
        <v>2</v>
      </c>
      <c r="AN107" t="s">
        <v>270</v>
      </c>
      <c r="AO107" t="s">
        <v>262</v>
      </c>
      <c r="AP107" t="s">
        <v>118</v>
      </c>
      <c r="AQ107" t="s">
        <v>89</v>
      </c>
      <c r="AR107" t="s">
        <v>352</v>
      </c>
      <c r="AS107" t="s">
        <v>82</v>
      </c>
      <c r="AT107" t="s">
        <v>90</v>
      </c>
      <c r="AU107" t="s">
        <v>119</v>
      </c>
      <c r="AV107" t="s">
        <v>432</v>
      </c>
      <c r="AW107" t="s">
        <v>93</v>
      </c>
      <c r="AX107" t="s">
        <v>320</v>
      </c>
      <c r="AY107" t="s">
        <v>95</v>
      </c>
      <c r="AZ107">
        <v>119.9349</v>
      </c>
      <c r="BA107">
        <v>28.0263</v>
      </c>
      <c r="BB107">
        <v>20</v>
      </c>
      <c r="BC107">
        <v>0.295</v>
      </c>
      <c r="BD107">
        <v>0.0001</v>
      </c>
      <c r="BE107">
        <v>20</v>
      </c>
      <c r="BF107">
        <v>57.0035</v>
      </c>
      <c r="BG107">
        <v>8.6842</v>
      </c>
      <c r="BH107">
        <v>20</v>
      </c>
      <c r="BI107">
        <v>1.4668</v>
      </c>
      <c r="BJ107">
        <v>1.5789</v>
      </c>
      <c r="BK107">
        <v>20</v>
      </c>
      <c r="BL107"/>
      <c r="BM107"/>
      <c r="BN107"/>
      <c r="BO107"/>
      <c r="BP107"/>
      <c r="BQ107"/>
      <c r="BR107"/>
      <c r="BS107"/>
      <c r="BT107"/>
      <c r="BU107"/>
      <c r="BV107"/>
      <c r="BW107"/>
      <c r="BX107"/>
    </row>
    <row r="108" s="1" customFormat="1" ht="15" customHeight="1" spans="1:76">
      <c r="A108">
        <v>41</v>
      </c>
      <c r="B108">
        <v>111</v>
      </c>
      <c r="C108" t="s">
        <v>433</v>
      </c>
      <c r="D108" t="s">
        <v>434</v>
      </c>
      <c r="E108">
        <v>2020</v>
      </c>
      <c r="F108" t="s">
        <v>435</v>
      </c>
      <c r="G108" t="s">
        <v>436</v>
      </c>
      <c r="H108" t="s">
        <v>80</v>
      </c>
      <c r="I108" t="s">
        <v>437</v>
      </c>
      <c r="J108" t="s">
        <v>96</v>
      </c>
      <c r="K108" t="s">
        <v>9</v>
      </c>
      <c r="L108" t="s">
        <v>97</v>
      </c>
      <c r="M108" t="s">
        <v>98</v>
      </c>
      <c r="N108" t="s">
        <v>99</v>
      </c>
      <c r="O108" t="s">
        <v>112</v>
      </c>
      <c r="P108" t="s">
        <v>101</v>
      </c>
      <c r="Q108" t="s">
        <v>102</v>
      </c>
      <c r="R108" t="s">
        <v>103</v>
      </c>
      <c r="S108" t="s">
        <v>104</v>
      </c>
      <c r="T108">
        <v>0.5</v>
      </c>
      <c r="U108"/>
      <c r="V108">
        <v>1.5</v>
      </c>
      <c r="W108"/>
      <c r="X108">
        <v>0.025</v>
      </c>
      <c r="Y108"/>
      <c r="Z108">
        <v>14.9</v>
      </c>
      <c r="AA108"/>
      <c r="AB108" t="s">
        <v>105</v>
      </c>
      <c r="AC108" t="s">
        <v>105</v>
      </c>
      <c r="AD108"/>
      <c r="AE108"/>
      <c r="AF108"/>
      <c r="AG108"/>
      <c r="AH108" t="s">
        <v>438</v>
      </c>
      <c r="AI108">
        <v>180</v>
      </c>
      <c r="AJ108">
        <v>1.1304</v>
      </c>
      <c r="AK108" t="s">
        <v>431</v>
      </c>
      <c r="AL108">
        <v>16</v>
      </c>
      <c r="AM108">
        <v>4</v>
      </c>
      <c r="AN108" t="s">
        <v>117</v>
      </c>
      <c r="AO108" t="s">
        <v>439</v>
      </c>
      <c r="AP108" t="s">
        <v>162</v>
      </c>
      <c r="AQ108" t="s">
        <v>89</v>
      </c>
      <c r="AR108" t="s">
        <v>352</v>
      </c>
      <c r="AS108" t="s">
        <v>82</v>
      </c>
      <c r="AT108" t="s">
        <v>133</v>
      </c>
      <c r="AU108" t="s">
        <v>119</v>
      </c>
      <c r="AV108" t="s">
        <v>184</v>
      </c>
      <c r="AW108" t="s">
        <v>91</v>
      </c>
      <c r="AX108" t="s">
        <v>92</v>
      </c>
      <c r="AY108" t="s">
        <v>163</v>
      </c>
      <c r="AZ108">
        <v>9.140500972</v>
      </c>
      <c r="BA108">
        <v>6.78</v>
      </c>
      <c r="BB108">
        <v>24</v>
      </c>
      <c r="BC108">
        <v>11.21829409</v>
      </c>
      <c r="BD108">
        <v>17.8</v>
      </c>
      <c r="BE108">
        <v>24</v>
      </c>
      <c r="BF108">
        <v>24.82741423</v>
      </c>
      <c r="BG108">
        <v>34.3</v>
      </c>
      <c r="BH108">
        <v>24</v>
      </c>
      <c r="BI108">
        <v>4.947278404</v>
      </c>
      <c r="BJ108">
        <v>7.64</v>
      </c>
      <c r="BK108">
        <v>24</v>
      </c>
      <c r="BL108"/>
      <c r="BM108"/>
      <c r="BN108"/>
      <c r="BO108"/>
      <c r="BP108"/>
      <c r="BQ108"/>
      <c r="BR108"/>
      <c r="BS108"/>
      <c r="BT108"/>
      <c r="BU108"/>
      <c r="BV108"/>
      <c r="BW108"/>
      <c r="BX108"/>
    </row>
    <row r="109" s="1" customFormat="1" ht="15" customHeight="1" spans="1:76">
      <c r="A109">
        <v>43</v>
      </c>
      <c r="B109">
        <v>113</v>
      </c>
      <c r="C109" t="s">
        <v>440</v>
      </c>
      <c r="D109" t="s">
        <v>441</v>
      </c>
      <c r="E109">
        <v>1993</v>
      </c>
      <c r="F109" t="s">
        <v>442</v>
      </c>
      <c r="G109" t="s">
        <v>228</v>
      </c>
      <c r="H109" t="s">
        <v>198</v>
      </c>
      <c r="I109" t="s">
        <v>81</v>
      </c>
      <c r="J109" t="s">
        <v>96</v>
      </c>
      <c r="K109" t="s">
        <v>9</v>
      </c>
      <c r="L109" t="s">
        <v>443</v>
      </c>
      <c r="M109" t="s">
        <v>444</v>
      </c>
      <c r="N109" t="s">
        <v>445</v>
      </c>
      <c r="O109" t="s">
        <v>112</v>
      </c>
      <c r="P109" t="s">
        <v>149</v>
      </c>
      <c r="Q109" t="s">
        <v>210</v>
      </c>
      <c r="R109" t="s">
        <v>103</v>
      </c>
      <c r="S109" t="s">
        <v>104</v>
      </c>
      <c r="T109">
        <v>0.0588</v>
      </c>
      <c r="U109"/>
      <c r="V109">
        <f>0.2296-T109</f>
        <v>0.1708</v>
      </c>
      <c r="W109"/>
      <c r="X109">
        <v>0.03</v>
      </c>
      <c r="Y109"/>
      <c r="Z109">
        <v>22</v>
      </c>
      <c r="AA109"/>
      <c r="AB109" t="s">
        <v>105</v>
      </c>
      <c r="AC109" t="s">
        <v>105</v>
      </c>
      <c r="AD109"/>
      <c r="AE109"/>
      <c r="AF109">
        <v>37.25</v>
      </c>
      <c r="AG109">
        <v>-75.5</v>
      </c>
      <c r="AH109" t="s">
        <v>446</v>
      </c>
      <c r="AI109">
        <v>31</v>
      </c>
      <c r="AJ109">
        <v>0.108</v>
      </c>
      <c r="AK109" t="s">
        <v>115</v>
      </c>
      <c r="AL109">
        <v>20</v>
      </c>
      <c r="AM109">
        <v>5</v>
      </c>
      <c r="AN109" t="s">
        <v>270</v>
      </c>
      <c r="AO109" t="s">
        <v>131</v>
      </c>
      <c r="AP109" t="s">
        <v>447</v>
      </c>
      <c r="AQ109" t="s">
        <v>185</v>
      </c>
      <c r="AR109" t="s">
        <v>368</v>
      </c>
      <c r="AS109" t="s">
        <v>82</v>
      </c>
      <c r="AT109" t="s">
        <v>448</v>
      </c>
      <c r="AU109" t="s">
        <v>91</v>
      </c>
      <c r="AV109" t="s">
        <v>92</v>
      </c>
      <c r="AW109" t="s">
        <v>119</v>
      </c>
      <c r="AX109" t="s">
        <v>449</v>
      </c>
      <c r="AY109" t="s">
        <v>163</v>
      </c>
      <c r="AZ109">
        <v>0.807061791</v>
      </c>
      <c r="BA109">
        <v>0.191743534</v>
      </c>
      <c r="BB109">
        <v>5</v>
      </c>
      <c r="BC109">
        <v>0.655737705</v>
      </c>
      <c r="BD109">
        <v>0.191743534</v>
      </c>
      <c r="BE109">
        <v>5</v>
      </c>
      <c r="BF109">
        <v>1.182849937</v>
      </c>
      <c r="BG109">
        <v>0.146627408</v>
      </c>
      <c r="BH109">
        <v>5</v>
      </c>
      <c r="BI109">
        <v>1.079445145</v>
      </c>
      <c r="BJ109">
        <v>0.411684647</v>
      </c>
      <c r="BK109">
        <v>5</v>
      </c>
      <c r="BL109"/>
      <c r="BM109"/>
      <c r="BN109"/>
      <c r="BO109"/>
      <c r="BP109"/>
      <c r="BQ109"/>
      <c r="BR109"/>
      <c r="BS109"/>
      <c r="BT109"/>
      <c r="BU109"/>
      <c r="BV109"/>
      <c r="BW109"/>
      <c r="BX109"/>
    </row>
    <row r="110" s="1" customFormat="1" ht="15" customHeight="1" spans="1:76">
      <c r="A110">
        <v>43</v>
      </c>
      <c r="B110">
        <v>114</v>
      </c>
      <c r="C110" t="s">
        <v>440</v>
      </c>
      <c r="D110" t="s">
        <v>441</v>
      </c>
      <c r="E110">
        <v>1993</v>
      </c>
      <c r="F110" t="s">
        <v>442</v>
      </c>
      <c r="G110" t="s">
        <v>228</v>
      </c>
      <c r="H110" t="s">
        <v>198</v>
      </c>
      <c r="I110" t="s">
        <v>81</v>
      </c>
      <c r="J110" t="s">
        <v>96</v>
      </c>
      <c r="K110" t="s">
        <v>9</v>
      </c>
      <c r="L110" t="s">
        <v>443</v>
      </c>
      <c r="M110" t="s">
        <v>444</v>
      </c>
      <c r="N110" t="s">
        <v>445</v>
      </c>
      <c r="O110" t="s">
        <v>112</v>
      </c>
      <c r="P110" t="s">
        <v>149</v>
      </c>
      <c r="Q110" t="s">
        <v>210</v>
      </c>
      <c r="R110" t="s">
        <v>103</v>
      </c>
      <c r="S110" t="s">
        <v>104</v>
      </c>
      <c r="T110">
        <v>0.0588</v>
      </c>
      <c r="U110"/>
      <c r="V110">
        <f>0.2296-T110</f>
        <v>0.1708</v>
      </c>
      <c r="W110"/>
      <c r="X110">
        <v>0.03</v>
      </c>
      <c r="Y110"/>
      <c r="Z110">
        <v>22</v>
      </c>
      <c r="AA110"/>
      <c r="AB110" t="s">
        <v>105</v>
      </c>
      <c r="AC110" t="s">
        <v>105</v>
      </c>
      <c r="AD110"/>
      <c r="AE110"/>
      <c r="AF110">
        <v>37.25</v>
      </c>
      <c r="AG110">
        <v>-75.5</v>
      </c>
      <c r="AH110" t="s">
        <v>450</v>
      </c>
      <c r="AI110">
        <v>36</v>
      </c>
      <c r="AJ110">
        <v>0.108</v>
      </c>
      <c r="AK110" t="s">
        <v>115</v>
      </c>
      <c r="AL110">
        <v>20</v>
      </c>
      <c r="AM110">
        <v>5</v>
      </c>
      <c r="AN110" t="s">
        <v>87</v>
      </c>
      <c r="AO110" t="s">
        <v>262</v>
      </c>
      <c r="AP110" t="s">
        <v>447</v>
      </c>
      <c r="AQ110" t="s">
        <v>185</v>
      </c>
      <c r="AR110" t="s">
        <v>368</v>
      </c>
      <c r="AS110" t="s">
        <v>82</v>
      </c>
      <c r="AT110" t="s">
        <v>448</v>
      </c>
      <c r="AU110" t="s">
        <v>91</v>
      </c>
      <c r="AV110" t="s">
        <v>92</v>
      </c>
      <c r="AW110" t="s">
        <v>119</v>
      </c>
      <c r="AX110" t="s">
        <v>449</v>
      </c>
      <c r="AY110" t="s">
        <v>163</v>
      </c>
      <c r="AZ110">
        <v>0.504761905</v>
      </c>
      <c r="BA110">
        <v>0.159719141</v>
      </c>
      <c r="BB110">
        <v>5</v>
      </c>
      <c r="BC110">
        <v>0.228571429</v>
      </c>
      <c r="BD110">
        <v>0.159719141</v>
      </c>
      <c r="BE110">
        <v>5</v>
      </c>
      <c r="BF110">
        <v>1.2</v>
      </c>
      <c r="BG110">
        <v>0.133099284</v>
      </c>
      <c r="BH110">
        <v>5</v>
      </c>
      <c r="BI110">
        <v>1.080952381</v>
      </c>
      <c r="BJ110">
        <v>0.30879034</v>
      </c>
      <c r="BK110">
        <v>5</v>
      </c>
      <c r="BL110"/>
      <c r="BM110"/>
      <c r="BN110"/>
      <c r="BO110"/>
      <c r="BP110"/>
      <c r="BQ110"/>
      <c r="BR110"/>
      <c r="BS110"/>
      <c r="BT110"/>
      <c r="BU110"/>
      <c r="BV110"/>
      <c r="BW110"/>
      <c r="BX110"/>
    </row>
    <row r="111" s="1" customFormat="1" ht="15" customHeight="1" spans="1:76">
      <c r="A111">
        <v>43</v>
      </c>
      <c r="B111">
        <v>115</v>
      </c>
      <c r="C111" t="s">
        <v>440</v>
      </c>
      <c r="D111" t="s">
        <v>441</v>
      </c>
      <c r="E111">
        <v>1993</v>
      </c>
      <c r="F111" t="s">
        <v>442</v>
      </c>
      <c r="G111" t="s">
        <v>228</v>
      </c>
      <c r="H111" t="s">
        <v>198</v>
      </c>
      <c r="I111" t="s">
        <v>81</v>
      </c>
      <c r="J111" t="s">
        <v>96</v>
      </c>
      <c r="K111" t="s">
        <v>9</v>
      </c>
      <c r="L111" t="s">
        <v>443</v>
      </c>
      <c r="M111" t="s">
        <v>444</v>
      </c>
      <c r="N111" t="s">
        <v>445</v>
      </c>
      <c r="O111" t="s">
        <v>112</v>
      </c>
      <c r="P111" t="s">
        <v>149</v>
      </c>
      <c r="Q111" t="s">
        <v>210</v>
      </c>
      <c r="R111" t="s">
        <v>103</v>
      </c>
      <c r="S111" t="s">
        <v>104</v>
      </c>
      <c r="T111">
        <v>0.0588</v>
      </c>
      <c r="U111"/>
      <c r="V111">
        <f>0.2296-T111</f>
        <v>0.1708</v>
      </c>
      <c r="W111"/>
      <c r="X111">
        <v>0.03</v>
      </c>
      <c r="Y111"/>
      <c r="Z111">
        <v>22</v>
      </c>
      <c r="AA111"/>
      <c r="AB111" t="s">
        <v>105</v>
      </c>
      <c r="AC111" t="s">
        <v>105</v>
      </c>
      <c r="AD111"/>
      <c r="AE111"/>
      <c r="AF111">
        <v>37.25</v>
      </c>
      <c r="AG111">
        <v>-75.5</v>
      </c>
      <c r="AH111" t="s">
        <v>451</v>
      </c>
      <c r="AI111">
        <v>43</v>
      </c>
      <c r="AJ111">
        <v>0.108</v>
      </c>
      <c r="AK111" t="s">
        <v>115</v>
      </c>
      <c r="AL111">
        <v>20</v>
      </c>
      <c r="AM111">
        <v>5</v>
      </c>
      <c r="AN111" t="s">
        <v>183</v>
      </c>
      <c r="AO111" t="s">
        <v>439</v>
      </c>
      <c r="AP111" t="s">
        <v>447</v>
      </c>
      <c r="AQ111" t="s">
        <v>185</v>
      </c>
      <c r="AR111" t="s">
        <v>368</v>
      </c>
      <c r="AS111" t="s">
        <v>82</v>
      </c>
      <c r="AT111" t="s">
        <v>448</v>
      </c>
      <c r="AU111" t="s">
        <v>91</v>
      </c>
      <c r="AV111" t="s">
        <v>92</v>
      </c>
      <c r="AW111" t="s">
        <v>119</v>
      </c>
      <c r="AX111" t="s">
        <v>449</v>
      </c>
      <c r="AY111" t="s">
        <v>163</v>
      </c>
      <c r="AZ111">
        <v>0.739380023</v>
      </c>
      <c r="BA111">
        <v>0.118093142</v>
      </c>
      <c r="BB111">
        <v>5</v>
      </c>
      <c r="BC111">
        <v>0.481927711</v>
      </c>
      <c r="BD111">
        <v>0.184222828</v>
      </c>
      <c r="BE111">
        <v>5</v>
      </c>
      <c r="BF111">
        <v>0.481927711</v>
      </c>
      <c r="BG111">
        <v>0.184222828</v>
      </c>
      <c r="BH111">
        <v>5</v>
      </c>
      <c r="BI111">
        <v>0.481927711</v>
      </c>
      <c r="BJ111">
        <v>0.184222828</v>
      </c>
      <c r="BK111">
        <v>5</v>
      </c>
      <c r="BL111"/>
      <c r="BM111"/>
      <c r="BN111"/>
      <c r="BO111"/>
      <c r="BP111"/>
      <c r="BQ111"/>
      <c r="BR111"/>
      <c r="BS111"/>
      <c r="BT111"/>
      <c r="BU111"/>
      <c r="BV111"/>
      <c r="BW111"/>
      <c r="BX111"/>
    </row>
    <row r="112" s="1" customFormat="1" ht="15" customHeight="1" spans="1:76">
      <c r="A112">
        <v>43</v>
      </c>
      <c r="B112">
        <v>116</v>
      </c>
      <c r="C112" t="s">
        <v>440</v>
      </c>
      <c r="D112" t="s">
        <v>441</v>
      </c>
      <c r="E112">
        <v>1993</v>
      </c>
      <c r="F112" t="s">
        <v>442</v>
      </c>
      <c r="G112" t="s">
        <v>228</v>
      </c>
      <c r="H112" t="s">
        <v>198</v>
      </c>
      <c r="I112" t="s">
        <v>81</v>
      </c>
      <c r="J112" t="s">
        <v>96</v>
      </c>
      <c r="K112" t="s">
        <v>9</v>
      </c>
      <c r="L112" t="s">
        <v>443</v>
      </c>
      <c r="M112" t="s">
        <v>444</v>
      </c>
      <c r="N112" t="s">
        <v>445</v>
      </c>
      <c r="O112" t="s">
        <v>112</v>
      </c>
      <c r="P112" t="s">
        <v>149</v>
      </c>
      <c r="Q112" t="s">
        <v>210</v>
      </c>
      <c r="R112" t="s">
        <v>103</v>
      </c>
      <c r="S112" t="s">
        <v>104</v>
      </c>
      <c r="T112">
        <v>0.0588</v>
      </c>
      <c r="U112"/>
      <c r="V112">
        <f>0.2296-T112</f>
        <v>0.1708</v>
      </c>
      <c r="W112"/>
      <c r="X112">
        <v>0.03</v>
      </c>
      <c r="Y112"/>
      <c r="Z112">
        <v>22</v>
      </c>
      <c r="AA112"/>
      <c r="AB112" t="s">
        <v>105</v>
      </c>
      <c r="AC112" t="s">
        <v>105</v>
      </c>
      <c r="AD112"/>
      <c r="AE112"/>
      <c r="AF112">
        <v>37.25</v>
      </c>
      <c r="AG112">
        <v>-75.5</v>
      </c>
      <c r="AH112" t="s">
        <v>452</v>
      </c>
      <c r="AI112">
        <v>62</v>
      </c>
      <c r="AJ112">
        <v>0.108</v>
      </c>
      <c r="AK112" t="s">
        <v>115</v>
      </c>
      <c r="AL112">
        <v>20</v>
      </c>
      <c r="AM112">
        <v>5</v>
      </c>
      <c r="AN112" t="s">
        <v>161</v>
      </c>
      <c r="AO112" t="s">
        <v>270</v>
      </c>
      <c r="AP112" t="s">
        <v>453</v>
      </c>
      <c r="AQ112" t="s">
        <v>185</v>
      </c>
      <c r="AR112" t="s">
        <v>368</v>
      </c>
      <c r="AS112" t="s">
        <v>82</v>
      </c>
      <c r="AT112" t="s">
        <v>448</v>
      </c>
      <c r="AU112" t="s">
        <v>91</v>
      </c>
      <c r="AV112" t="s">
        <v>92</v>
      </c>
      <c r="AW112" t="s">
        <v>119</v>
      </c>
      <c r="AX112" t="s">
        <v>449</v>
      </c>
      <c r="AY112" t="s">
        <v>163</v>
      </c>
      <c r="AZ112">
        <v>1.464197531</v>
      </c>
      <c r="BA112">
        <v>0.265015464</v>
      </c>
      <c r="BB112">
        <v>5</v>
      </c>
      <c r="BC112">
        <v>1.679012346</v>
      </c>
      <c r="BD112">
        <v>0.265015464</v>
      </c>
      <c r="BE112">
        <v>5</v>
      </c>
      <c r="BF112">
        <v>1.355555556</v>
      </c>
      <c r="BG112">
        <v>0.077296177</v>
      </c>
      <c r="BH112">
        <v>5</v>
      </c>
      <c r="BI112">
        <v>1.103703704</v>
      </c>
      <c r="BJ112">
        <v>0.419607818</v>
      </c>
      <c r="BK112">
        <v>5</v>
      </c>
      <c r="BL112"/>
      <c r="BM112"/>
      <c r="BN112"/>
      <c r="BO112"/>
      <c r="BP112"/>
      <c r="BQ112"/>
      <c r="BR112"/>
      <c r="BS112"/>
      <c r="BT112"/>
      <c r="BU112"/>
      <c r="BV112"/>
      <c r="BW112"/>
      <c r="BX112"/>
    </row>
    <row r="113" s="1" customFormat="1" ht="15" customHeight="1" spans="1:76">
      <c r="A113">
        <v>44</v>
      </c>
      <c r="B113">
        <v>117</v>
      </c>
      <c r="C113" t="s">
        <v>454</v>
      </c>
      <c r="D113" t="s">
        <v>455</v>
      </c>
      <c r="E113">
        <v>2012</v>
      </c>
      <c r="F113" t="s">
        <v>310</v>
      </c>
      <c r="G113" t="s">
        <v>456</v>
      </c>
      <c r="H113" t="s">
        <v>80</v>
      </c>
      <c r="I113" t="s">
        <v>457</v>
      </c>
      <c r="J113" t="s">
        <v>96</v>
      </c>
      <c r="K113" t="s">
        <v>9</v>
      </c>
      <c r="L113" t="s">
        <v>126</v>
      </c>
      <c r="M113" t="s">
        <v>242</v>
      </c>
      <c r="N113" t="s">
        <v>243</v>
      </c>
      <c r="O113" t="s">
        <v>100</v>
      </c>
      <c r="P113" t="s">
        <v>149</v>
      </c>
      <c r="Q113" t="s">
        <v>102</v>
      </c>
      <c r="R113" t="s">
        <v>103</v>
      </c>
      <c r="S113" t="s">
        <v>104</v>
      </c>
      <c r="T113"/>
      <c r="U113"/>
      <c r="V113"/>
      <c r="W113"/>
      <c r="X113"/>
      <c r="Y113"/>
      <c r="Z113">
        <v>19</v>
      </c>
      <c r="AA113">
        <v>3</v>
      </c>
      <c r="AB113" t="s">
        <v>105</v>
      </c>
      <c r="AC113" t="s">
        <v>105</v>
      </c>
      <c r="AD113"/>
      <c r="AE113">
        <v>2.07</v>
      </c>
      <c r="AF113">
        <v>52.7</v>
      </c>
      <c r="AG113">
        <v>13.2</v>
      </c>
      <c r="AH113" t="s">
        <v>458</v>
      </c>
      <c r="AI113">
        <v>56</v>
      </c>
      <c r="AJ113">
        <v>400</v>
      </c>
      <c r="AK113" t="s">
        <v>86</v>
      </c>
      <c r="AL113">
        <v>24</v>
      </c>
      <c r="AM113">
        <v>6</v>
      </c>
      <c r="AN113"/>
      <c r="AO113"/>
      <c r="AP113"/>
      <c r="AQ113" t="s">
        <v>185</v>
      </c>
      <c r="AR113" t="s">
        <v>186</v>
      </c>
      <c r="AS113" t="s">
        <v>82</v>
      </c>
      <c r="AT113" t="s">
        <v>459</v>
      </c>
      <c r="AU113" t="s">
        <v>119</v>
      </c>
      <c r="AV113" t="s">
        <v>344</v>
      </c>
      <c r="AW113" t="s">
        <v>221</v>
      </c>
      <c r="AX113" t="s">
        <v>409</v>
      </c>
      <c r="AY113" t="s">
        <v>412</v>
      </c>
      <c r="AZ113">
        <v>0.006666667</v>
      </c>
      <c r="BA113">
        <v>0.121436464</v>
      </c>
      <c r="BB113">
        <v>36</v>
      </c>
      <c r="BC113">
        <v>0.077569061</v>
      </c>
      <c r="BD113">
        <v>0.087403315</v>
      </c>
      <c r="BE113">
        <v>36</v>
      </c>
      <c r="BF113">
        <v>-0.025561694</v>
      </c>
      <c r="BG113">
        <v>0.049502762</v>
      </c>
      <c r="BH113">
        <v>36</v>
      </c>
      <c r="BI113">
        <v>0.07267035</v>
      </c>
      <c r="BJ113">
        <v>0.047955801</v>
      </c>
      <c r="BK113">
        <v>36</v>
      </c>
      <c r="BL113"/>
      <c r="BM113"/>
      <c r="BN113"/>
      <c r="BO113"/>
      <c r="BP113"/>
      <c r="BQ113"/>
      <c r="BR113"/>
      <c r="BS113"/>
      <c r="BT113"/>
      <c r="BU113"/>
      <c r="BV113"/>
      <c r="BW113"/>
      <c r="BX113"/>
    </row>
    <row r="114" s="1" customFormat="1" ht="15" customHeight="1" spans="1:76">
      <c r="A114">
        <v>44</v>
      </c>
      <c r="B114">
        <v>118</v>
      </c>
      <c r="C114" t="s">
        <v>454</v>
      </c>
      <c r="D114" t="s">
        <v>455</v>
      </c>
      <c r="E114">
        <v>2012</v>
      </c>
      <c r="F114" t="s">
        <v>310</v>
      </c>
      <c r="G114" t="s">
        <v>456</v>
      </c>
      <c r="H114" t="s">
        <v>80</v>
      </c>
      <c r="I114" t="s">
        <v>457</v>
      </c>
      <c r="J114" t="s">
        <v>82</v>
      </c>
      <c r="K114" t="s">
        <v>460</v>
      </c>
      <c r="L114" t="s">
        <v>84</v>
      </c>
      <c r="M114" t="s">
        <v>84</v>
      </c>
      <c r="N114" t="s">
        <v>84</v>
      </c>
      <c r="O114" t="s">
        <v>84</v>
      </c>
      <c r="P114"/>
      <c r="Q114"/>
      <c r="R114"/>
      <c r="S114"/>
      <c r="T114"/>
      <c r="U114"/>
      <c r="V114"/>
      <c r="W114"/>
      <c r="X114"/>
      <c r="Y114"/>
      <c r="Z114">
        <v>19</v>
      </c>
      <c r="AA114">
        <v>3</v>
      </c>
      <c r="AB114" t="s">
        <v>105</v>
      </c>
      <c r="AC114" t="s">
        <v>105</v>
      </c>
      <c r="AD114"/>
      <c r="AE114"/>
      <c r="AF114">
        <v>52.7</v>
      </c>
      <c r="AG114">
        <v>13.2</v>
      </c>
      <c r="AH114" t="s">
        <v>458</v>
      </c>
      <c r="AI114">
        <v>56</v>
      </c>
      <c r="AJ114">
        <v>400</v>
      </c>
      <c r="AK114" t="s">
        <v>86</v>
      </c>
      <c r="AL114">
        <v>24</v>
      </c>
      <c r="AM114">
        <v>6</v>
      </c>
      <c r="AN114"/>
      <c r="AO114"/>
      <c r="AP114"/>
      <c r="AQ114" t="s">
        <v>89</v>
      </c>
      <c r="AR114" t="s">
        <v>352</v>
      </c>
      <c r="AS114" t="s">
        <v>82</v>
      </c>
      <c r="AT114" t="s">
        <v>90</v>
      </c>
      <c r="AU114" t="s">
        <v>119</v>
      </c>
      <c r="AV114" t="s">
        <v>344</v>
      </c>
      <c r="AW114" t="s">
        <v>221</v>
      </c>
      <c r="AX114" t="s">
        <v>409</v>
      </c>
      <c r="AY114" t="s">
        <v>412</v>
      </c>
      <c r="AZ114">
        <v>5.175414365</v>
      </c>
      <c r="BA114">
        <v>1.349925977</v>
      </c>
      <c r="BB114">
        <v>6</v>
      </c>
      <c r="BC114">
        <v>2.349447514</v>
      </c>
      <c r="BD114">
        <v>1.075880854</v>
      </c>
      <c r="BE114">
        <v>6</v>
      </c>
      <c r="BF114">
        <v>4.081491713</v>
      </c>
      <c r="BG114">
        <v>1.329626338</v>
      </c>
      <c r="BH114">
        <v>6</v>
      </c>
      <c r="BI114">
        <v>2.312154696</v>
      </c>
      <c r="BJ114">
        <v>1.248427783</v>
      </c>
      <c r="BK114">
        <v>6</v>
      </c>
      <c r="BL114"/>
      <c r="BM114"/>
      <c r="BN114"/>
      <c r="BO114"/>
      <c r="BP114"/>
      <c r="BQ114"/>
      <c r="BR114"/>
      <c r="BS114"/>
      <c r="BT114"/>
      <c r="BU114"/>
      <c r="BV114"/>
      <c r="BW114"/>
      <c r="BX114"/>
    </row>
    <row r="115" s="1" customFormat="1" ht="15" customHeight="1" spans="1:76">
      <c r="A115">
        <v>45</v>
      </c>
      <c r="B115">
        <v>119</v>
      </c>
      <c r="C115" t="s">
        <v>461</v>
      </c>
      <c r="D115" t="s">
        <v>462</v>
      </c>
      <c r="E115">
        <v>2023</v>
      </c>
      <c r="F115" t="s">
        <v>463</v>
      </c>
      <c r="G115" t="s">
        <v>464</v>
      </c>
      <c r="H115" t="s">
        <v>198</v>
      </c>
      <c r="I115" t="s">
        <v>110</v>
      </c>
      <c r="J115" t="s">
        <v>96</v>
      </c>
      <c r="K115" t="s">
        <v>9</v>
      </c>
      <c r="L115" t="s">
        <v>126</v>
      </c>
      <c r="M115" t="s">
        <v>168</v>
      </c>
      <c r="N115" t="s">
        <v>268</v>
      </c>
      <c r="O115" t="s">
        <v>112</v>
      </c>
      <c r="P115" t="s">
        <v>149</v>
      </c>
      <c r="Q115" t="s">
        <v>210</v>
      </c>
      <c r="R115" t="s">
        <v>103</v>
      </c>
      <c r="S115" t="s">
        <v>104</v>
      </c>
      <c r="T115">
        <v>1</v>
      </c>
      <c r="U115">
        <v>0.79</v>
      </c>
      <c r="V115">
        <v>2</v>
      </c>
      <c r="W115"/>
      <c r="X115">
        <v>0.1</v>
      </c>
      <c r="Y115">
        <v>0.022</v>
      </c>
      <c r="Z115"/>
      <c r="AA115"/>
      <c r="AB115" t="s">
        <v>105</v>
      </c>
      <c r="AC115" t="s">
        <v>105</v>
      </c>
      <c r="AD115"/>
      <c r="AE115"/>
      <c r="AF115">
        <v>32.1075</v>
      </c>
      <c r="AG115">
        <v>118.905278</v>
      </c>
      <c r="AH115" t="s">
        <v>465</v>
      </c>
      <c r="AI115">
        <v>65</v>
      </c>
      <c r="AJ115">
        <v>110</v>
      </c>
      <c r="AK115" t="s">
        <v>86</v>
      </c>
      <c r="AL115">
        <v>96</v>
      </c>
      <c r="AM115">
        <v>8</v>
      </c>
      <c r="AN115" t="s">
        <v>116</v>
      </c>
      <c r="AO115" t="s">
        <v>161</v>
      </c>
      <c r="AP115" t="s">
        <v>466</v>
      </c>
      <c r="AQ115" t="s">
        <v>89</v>
      </c>
      <c r="AR115" t="s">
        <v>391</v>
      </c>
      <c r="AS115" t="s">
        <v>82</v>
      </c>
      <c r="AT115" t="s">
        <v>90</v>
      </c>
      <c r="AU115" t="s">
        <v>119</v>
      </c>
      <c r="AV115" t="s">
        <v>175</v>
      </c>
      <c r="AW115" t="s">
        <v>91</v>
      </c>
      <c r="AX115" t="s">
        <v>92</v>
      </c>
      <c r="AY115" t="s">
        <v>163</v>
      </c>
      <c r="AZ115">
        <v>2.545144804</v>
      </c>
      <c r="BA115">
        <v>0.357751278</v>
      </c>
      <c r="BB115">
        <v>8</v>
      </c>
      <c r="BC115">
        <v>3.516183986</v>
      </c>
      <c r="BD115">
        <v>0.429301533</v>
      </c>
      <c r="BE115">
        <v>8</v>
      </c>
      <c r="BF115">
        <v>2.65758092</v>
      </c>
      <c r="BG115">
        <v>0.429301533</v>
      </c>
      <c r="BH115">
        <v>8</v>
      </c>
      <c r="BI115">
        <v>3.332197615</v>
      </c>
      <c r="BJ115">
        <v>0.70528109</v>
      </c>
      <c r="BK115">
        <v>8</v>
      </c>
      <c r="BL115"/>
      <c r="BM115"/>
      <c r="BN115"/>
      <c r="BO115"/>
      <c r="BP115"/>
      <c r="BQ115"/>
      <c r="BR115"/>
      <c r="BS115"/>
      <c r="BT115"/>
      <c r="BU115"/>
      <c r="BV115"/>
      <c r="BW115"/>
      <c r="BX115"/>
    </row>
    <row r="116" s="1" customFormat="1" ht="15" customHeight="1" spans="1:76">
      <c r="A116">
        <v>45</v>
      </c>
      <c r="B116">
        <v>120</v>
      </c>
      <c r="C116" t="s">
        <v>461</v>
      </c>
      <c r="D116" t="s">
        <v>462</v>
      </c>
      <c r="E116">
        <v>2023</v>
      </c>
      <c r="F116" t="s">
        <v>463</v>
      </c>
      <c r="G116" t="s">
        <v>464</v>
      </c>
      <c r="H116" t="s">
        <v>198</v>
      </c>
      <c r="I116" t="s">
        <v>110</v>
      </c>
      <c r="J116" t="s">
        <v>96</v>
      </c>
      <c r="K116" t="s">
        <v>9</v>
      </c>
      <c r="L116" t="s">
        <v>126</v>
      </c>
      <c r="M116" t="s">
        <v>168</v>
      </c>
      <c r="N116" t="s">
        <v>268</v>
      </c>
      <c r="O116" t="s">
        <v>112</v>
      </c>
      <c r="P116" t="s">
        <v>149</v>
      </c>
      <c r="Q116" t="s">
        <v>210</v>
      </c>
      <c r="R116" t="s">
        <v>103</v>
      </c>
      <c r="S116" t="s">
        <v>104</v>
      </c>
      <c r="T116"/>
      <c r="U116"/>
      <c r="V116"/>
      <c r="W116"/>
      <c r="X116"/>
      <c r="Y116"/>
      <c r="Z116"/>
      <c r="AA116"/>
      <c r="AB116"/>
      <c r="AC116"/>
      <c r="AD116"/>
      <c r="AE116"/>
      <c r="AF116">
        <v>32.1075</v>
      </c>
      <c r="AG116">
        <v>118.905278</v>
      </c>
      <c r="AH116" t="s">
        <v>465</v>
      </c>
      <c r="AI116">
        <v>65</v>
      </c>
      <c r="AJ116">
        <v>110</v>
      </c>
      <c r="AK116" t="s">
        <v>86</v>
      </c>
      <c r="AL116">
        <v>96</v>
      </c>
      <c r="AM116">
        <v>8</v>
      </c>
      <c r="AN116" t="s">
        <v>116</v>
      </c>
      <c r="AO116" t="s">
        <v>161</v>
      </c>
      <c r="AP116" t="s">
        <v>466</v>
      </c>
      <c r="AQ116" t="s">
        <v>89</v>
      </c>
      <c r="AR116" t="s">
        <v>391</v>
      </c>
      <c r="AS116" t="s">
        <v>82</v>
      </c>
      <c r="AT116" t="s">
        <v>90</v>
      </c>
      <c r="AU116" t="s">
        <v>119</v>
      </c>
      <c r="AV116" t="s">
        <v>175</v>
      </c>
      <c r="AW116" t="s">
        <v>93</v>
      </c>
      <c r="AX116" t="s">
        <v>121</v>
      </c>
      <c r="AY116" t="s">
        <v>95</v>
      </c>
      <c r="AZ116">
        <v>2.545144804</v>
      </c>
      <c r="BA116">
        <v>0.357751278</v>
      </c>
      <c r="BB116">
        <v>8</v>
      </c>
      <c r="BC116">
        <v>3.516183986</v>
      </c>
      <c r="BD116">
        <v>0.429301533</v>
      </c>
      <c r="BE116">
        <v>8</v>
      </c>
      <c r="BF116">
        <v>2.473594549</v>
      </c>
      <c r="BG116">
        <v>0.327086882</v>
      </c>
      <c r="BH116">
        <v>8</v>
      </c>
      <c r="BI116">
        <v>3.107325383</v>
      </c>
      <c r="BJ116">
        <v>0.6439523</v>
      </c>
      <c r="BK116">
        <v>8</v>
      </c>
      <c r="BL116"/>
      <c r="BM116"/>
      <c r="BN116"/>
      <c r="BO116"/>
      <c r="BP116"/>
      <c r="BQ116"/>
      <c r="BR116"/>
      <c r="BS116"/>
      <c r="BT116"/>
      <c r="BU116"/>
      <c r="BV116"/>
      <c r="BW116"/>
      <c r="BX116"/>
    </row>
    <row r="117" s="1" customFormat="1" ht="15" customHeight="1" spans="1:76">
      <c r="A117">
        <v>45</v>
      </c>
      <c r="B117">
        <v>121</v>
      </c>
      <c r="C117" t="s">
        <v>461</v>
      </c>
      <c r="D117" t="s">
        <v>462</v>
      </c>
      <c r="E117">
        <v>2023</v>
      </c>
      <c r="F117" t="s">
        <v>463</v>
      </c>
      <c r="G117" t="s">
        <v>464</v>
      </c>
      <c r="H117" t="s">
        <v>198</v>
      </c>
      <c r="I117" t="s">
        <v>110</v>
      </c>
      <c r="J117" t="s">
        <v>96</v>
      </c>
      <c r="K117" t="s">
        <v>9</v>
      </c>
      <c r="L117" t="s">
        <v>126</v>
      </c>
      <c r="M117" t="s">
        <v>168</v>
      </c>
      <c r="N117" t="s">
        <v>268</v>
      </c>
      <c r="O117" t="s">
        <v>112</v>
      </c>
      <c r="P117" t="s">
        <v>149</v>
      </c>
      <c r="Q117" t="s">
        <v>210</v>
      </c>
      <c r="R117" t="s">
        <v>103</v>
      </c>
      <c r="S117" t="s">
        <v>104</v>
      </c>
      <c r="T117"/>
      <c r="U117"/>
      <c r="V117"/>
      <c r="W117"/>
      <c r="X117"/>
      <c r="Y117"/>
      <c r="Z117"/>
      <c r="AA117"/>
      <c r="AB117"/>
      <c r="AC117"/>
      <c r="AD117"/>
      <c r="AE117"/>
      <c r="AF117">
        <v>32.1075</v>
      </c>
      <c r="AG117">
        <v>118.905278</v>
      </c>
      <c r="AH117" t="s">
        <v>465</v>
      </c>
      <c r="AI117">
        <v>65</v>
      </c>
      <c r="AJ117">
        <v>110</v>
      </c>
      <c r="AK117" t="s">
        <v>86</v>
      </c>
      <c r="AL117">
        <v>96</v>
      </c>
      <c r="AM117">
        <v>8</v>
      </c>
      <c r="AN117" t="s">
        <v>116</v>
      </c>
      <c r="AO117" t="s">
        <v>161</v>
      </c>
      <c r="AP117" t="s">
        <v>466</v>
      </c>
      <c r="AQ117" t="s">
        <v>89</v>
      </c>
      <c r="AR117" t="s">
        <v>391</v>
      </c>
      <c r="AS117" t="s">
        <v>82</v>
      </c>
      <c r="AT117" t="s">
        <v>90</v>
      </c>
      <c r="AU117" t="s">
        <v>119</v>
      </c>
      <c r="AV117" t="s">
        <v>175</v>
      </c>
      <c r="AW117" t="s">
        <v>93</v>
      </c>
      <c r="AX117" t="s">
        <v>121</v>
      </c>
      <c r="AY117" t="s">
        <v>95</v>
      </c>
      <c r="AZ117">
        <v>2.545144804</v>
      </c>
      <c r="BA117">
        <v>0.357751278</v>
      </c>
      <c r="BB117">
        <v>8</v>
      </c>
      <c r="BC117">
        <v>3.516183986</v>
      </c>
      <c r="BD117">
        <v>0.429301533</v>
      </c>
      <c r="BE117">
        <v>8</v>
      </c>
      <c r="BF117">
        <v>2.483816014</v>
      </c>
      <c r="BG117">
        <v>0.541737649</v>
      </c>
      <c r="BH117">
        <v>8</v>
      </c>
      <c r="BI117">
        <v>2.790459966</v>
      </c>
      <c r="BJ117">
        <v>0.459965928</v>
      </c>
      <c r="BK117">
        <v>8</v>
      </c>
      <c r="BL117"/>
      <c r="BM117"/>
      <c r="BN117"/>
      <c r="BO117"/>
      <c r="BP117"/>
      <c r="BQ117"/>
      <c r="BR117"/>
      <c r="BS117"/>
      <c r="BT117"/>
      <c r="BU117"/>
      <c r="BV117"/>
      <c r="BW117"/>
      <c r="BX117"/>
    </row>
    <row r="118" s="1" customFormat="1" ht="15" customHeight="1" spans="1:76">
      <c r="A118">
        <v>45</v>
      </c>
      <c r="B118">
        <v>122</v>
      </c>
      <c r="C118" t="s">
        <v>461</v>
      </c>
      <c r="D118" t="s">
        <v>462</v>
      </c>
      <c r="E118">
        <v>2023</v>
      </c>
      <c r="F118" t="s">
        <v>463</v>
      </c>
      <c r="G118" t="s">
        <v>464</v>
      </c>
      <c r="H118" t="s">
        <v>198</v>
      </c>
      <c r="I118" t="s">
        <v>110</v>
      </c>
      <c r="J118" t="s">
        <v>96</v>
      </c>
      <c r="K118" t="s">
        <v>9</v>
      </c>
      <c r="L118" t="s">
        <v>146</v>
      </c>
      <c r="M118" t="s">
        <v>147</v>
      </c>
      <c r="N118" t="s">
        <v>148</v>
      </c>
      <c r="O118" t="s">
        <v>112</v>
      </c>
      <c r="P118" t="s">
        <v>149</v>
      </c>
      <c r="Q118" t="s">
        <v>102</v>
      </c>
      <c r="R118" t="s">
        <v>103</v>
      </c>
      <c r="S118" t="s">
        <v>104</v>
      </c>
      <c r="T118"/>
      <c r="U118"/>
      <c r="V118"/>
      <c r="W118"/>
      <c r="X118"/>
      <c r="Y118"/>
      <c r="Z118"/>
      <c r="AA118"/>
      <c r="AB118"/>
      <c r="AC118"/>
      <c r="AD118"/>
      <c r="AE118"/>
      <c r="AF118">
        <v>32.1075</v>
      </c>
      <c r="AG118">
        <v>118.905278</v>
      </c>
      <c r="AH118" t="s">
        <v>465</v>
      </c>
      <c r="AI118">
        <v>65</v>
      </c>
      <c r="AJ118">
        <v>110</v>
      </c>
      <c r="AK118" t="s">
        <v>86</v>
      </c>
      <c r="AL118">
        <v>96</v>
      </c>
      <c r="AM118">
        <v>8</v>
      </c>
      <c r="AN118" t="s">
        <v>116</v>
      </c>
      <c r="AO118" t="s">
        <v>161</v>
      </c>
      <c r="AP118" t="s">
        <v>466</v>
      </c>
      <c r="AQ118" t="s">
        <v>89</v>
      </c>
      <c r="AR118" t="s">
        <v>391</v>
      </c>
      <c r="AS118" t="s">
        <v>82</v>
      </c>
      <c r="AT118" t="s">
        <v>90</v>
      </c>
      <c r="AU118" t="s">
        <v>119</v>
      </c>
      <c r="AV118" t="s">
        <v>175</v>
      </c>
      <c r="AW118" t="s">
        <v>93</v>
      </c>
      <c r="AX118" t="s">
        <v>121</v>
      </c>
      <c r="AY118" t="s">
        <v>95</v>
      </c>
      <c r="AZ118">
        <v>3.426523297</v>
      </c>
      <c r="BA118">
        <v>0.630824373</v>
      </c>
      <c r="BB118">
        <v>8</v>
      </c>
      <c r="BC118">
        <v>1.505376344</v>
      </c>
      <c r="BD118">
        <v>0.716845878</v>
      </c>
      <c r="BE118">
        <v>8</v>
      </c>
      <c r="BF118">
        <v>4.616487455</v>
      </c>
      <c r="BG118">
        <v>1.347670251</v>
      </c>
      <c r="BH118">
        <v>8</v>
      </c>
      <c r="BI118">
        <v>3.039426523</v>
      </c>
      <c r="BJ118">
        <v>1.161290323</v>
      </c>
      <c r="BK118">
        <v>8</v>
      </c>
      <c r="BL118"/>
      <c r="BM118"/>
      <c r="BN118"/>
      <c r="BO118"/>
      <c r="BP118"/>
      <c r="BQ118"/>
      <c r="BR118"/>
      <c r="BS118"/>
      <c r="BT118"/>
      <c r="BU118"/>
      <c r="BV118"/>
      <c r="BW118"/>
      <c r="BX118"/>
    </row>
    <row r="119" s="1" customFormat="1" ht="15" customHeight="1" spans="1:76">
      <c r="A119">
        <v>45</v>
      </c>
      <c r="B119">
        <v>123</v>
      </c>
      <c r="C119" t="s">
        <v>461</v>
      </c>
      <c r="D119" t="s">
        <v>462</v>
      </c>
      <c r="E119">
        <v>2023</v>
      </c>
      <c r="F119" t="s">
        <v>463</v>
      </c>
      <c r="G119" t="s">
        <v>464</v>
      </c>
      <c r="H119" t="s">
        <v>198</v>
      </c>
      <c r="I119" t="s">
        <v>110</v>
      </c>
      <c r="J119" t="s">
        <v>96</v>
      </c>
      <c r="K119" t="s">
        <v>9</v>
      </c>
      <c r="L119" t="s">
        <v>146</v>
      </c>
      <c r="M119" t="s">
        <v>147</v>
      </c>
      <c r="N119" t="s">
        <v>148</v>
      </c>
      <c r="O119" t="s">
        <v>112</v>
      </c>
      <c r="P119" t="s">
        <v>149</v>
      </c>
      <c r="Q119" t="s">
        <v>102</v>
      </c>
      <c r="R119" t="s">
        <v>103</v>
      </c>
      <c r="S119" t="s">
        <v>104</v>
      </c>
      <c r="T119"/>
      <c r="U119"/>
      <c r="V119"/>
      <c r="W119"/>
      <c r="X119"/>
      <c r="Y119"/>
      <c r="Z119"/>
      <c r="AA119"/>
      <c r="AB119"/>
      <c r="AC119"/>
      <c r="AD119"/>
      <c r="AE119"/>
      <c r="AF119">
        <v>32.1075</v>
      </c>
      <c r="AG119">
        <v>118.905278</v>
      </c>
      <c r="AH119" t="s">
        <v>465</v>
      </c>
      <c r="AI119">
        <v>65</v>
      </c>
      <c r="AJ119">
        <v>110</v>
      </c>
      <c r="AK119" t="s">
        <v>86</v>
      </c>
      <c r="AL119">
        <v>96</v>
      </c>
      <c r="AM119">
        <v>8</v>
      </c>
      <c r="AN119" t="s">
        <v>116</v>
      </c>
      <c r="AO119" t="s">
        <v>161</v>
      </c>
      <c r="AP119" t="s">
        <v>466</v>
      </c>
      <c r="AQ119" t="s">
        <v>89</v>
      </c>
      <c r="AR119" t="s">
        <v>391</v>
      </c>
      <c r="AS119" t="s">
        <v>82</v>
      </c>
      <c r="AT119" t="s">
        <v>90</v>
      </c>
      <c r="AU119" t="s">
        <v>119</v>
      </c>
      <c r="AV119" t="s">
        <v>175</v>
      </c>
      <c r="AW119" t="s">
        <v>93</v>
      </c>
      <c r="AX119" t="s">
        <v>121</v>
      </c>
      <c r="AY119" t="s">
        <v>95</v>
      </c>
      <c r="AZ119">
        <v>3.426523297</v>
      </c>
      <c r="BA119">
        <v>0.630824373</v>
      </c>
      <c r="BB119">
        <v>8</v>
      </c>
      <c r="BC119">
        <v>1.505376344</v>
      </c>
      <c r="BD119">
        <v>0.716845878</v>
      </c>
      <c r="BE119">
        <v>8</v>
      </c>
      <c r="BF119">
        <v>4.215053763</v>
      </c>
      <c r="BG119">
        <v>1.562724014</v>
      </c>
      <c r="BH119">
        <v>8</v>
      </c>
      <c r="BI119">
        <v>3.770609319</v>
      </c>
      <c r="BJ119">
        <v>0.372759857</v>
      </c>
      <c r="BK119">
        <v>8</v>
      </c>
      <c r="BL119"/>
      <c r="BM119"/>
      <c r="BN119"/>
      <c r="BO119"/>
      <c r="BP119"/>
      <c r="BQ119"/>
      <c r="BR119"/>
      <c r="BS119"/>
      <c r="BT119"/>
      <c r="BU119"/>
      <c r="BV119"/>
      <c r="BW119"/>
      <c r="BX119"/>
    </row>
    <row r="120" s="1" customFormat="1" ht="15" customHeight="1" spans="1:76">
      <c r="A120">
        <v>45</v>
      </c>
      <c r="B120">
        <v>124</v>
      </c>
      <c r="C120" t="s">
        <v>461</v>
      </c>
      <c r="D120" t="s">
        <v>462</v>
      </c>
      <c r="E120">
        <v>2023</v>
      </c>
      <c r="F120" t="s">
        <v>463</v>
      </c>
      <c r="G120" t="s">
        <v>464</v>
      </c>
      <c r="H120" t="s">
        <v>198</v>
      </c>
      <c r="I120" t="s">
        <v>110</v>
      </c>
      <c r="J120" t="s">
        <v>96</v>
      </c>
      <c r="K120" t="s">
        <v>9</v>
      </c>
      <c r="L120" t="s">
        <v>126</v>
      </c>
      <c r="M120" t="s">
        <v>168</v>
      </c>
      <c r="N120" t="s">
        <v>268</v>
      </c>
      <c r="O120" t="s">
        <v>112</v>
      </c>
      <c r="P120" t="s">
        <v>149</v>
      </c>
      <c r="Q120" t="s">
        <v>210</v>
      </c>
      <c r="R120" t="s">
        <v>103</v>
      </c>
      <c r="S120" t="s">
        <v>104</v>
      </c>
      <c r="T120"/>
      <c r="U120"/>
      <c r="V120"/>
      <c r="W120"/>
      <c r="X120"/>
      <c r="Y120"/>
      <c r="Z120"/>
      <c r="AA120"/>
      <c r="AB120"/>
      <c r="AC120"/>
      <c r="AD120"/>
      <c r="AE120"/>
      <c r="AF120">
        <v>32.1075</v>
      </c>
      <c r="AG120">
        <v>118.905278</v>
      </c>
      <c r="AH120" t="s">
        <v>465</v>
      </c>
      <c r="AI120">
        <v>65</v>
      </c>
      <c r="AJ120">
        <v>110</v>
      </c>
      <c r="AK120" t="s">
        <v>86</v>
      </c>
      <c r="AL120">
        <v>96</v>
      </c>
      <c r="AM120">
        <v>8</v>
      </c>
      <c r="AN120" t="s">
        <v>116</v>
      </c>
      <c r="AO120" t="s">
        <v>161</v>
      </c>
      <c r="AP120" t="s">
        <v>466</v>
      </c>
      <c r="AQ120" t="s">
        <v>89</v>
      </c>
      <c r="AR120" t="s">
        <v>391</v>
      </c>
      <c r="AS120" t="s">
        <v>82</v>
      </c>
      <c r="AT120" t="s">
        <v>90</v>
      </c>
      <c r="AU120" t="s">
        <v>91</v>
      </c>
      <c r="AV120" t="s">
        <v>92</v>
      </c>
      <c r="AW120" t="s">
        <v>93</v>
      </c>
      <c r="AX120" t="s">
        <v>121</v>
      </c>
      <c r="AY120" t="s">
        <v>95</v>
      </c>
      <c r="AZ120">
        <v>2.545144804</v>
      </c>
      <c r="BA120">
        <v>0.357751278</v>
      </c>
      <c r="BB120">
        <v>8</v>
      </c>
      <c r="BC120">
        <v>2.473594549</v>
      </c>
      <c r="BD120">
        <v>0.327086882</v>
      </c>
      <c r="BE120">
        <v>8</v>
      </c>
      <c r="BF120">
        <v>2.65758092</v>
      </c>
      <c r="BG120">
        <v>0.429301533</v>
      </c>
      <c r="BH120">
        <v>8</v>
      </c>
      <c r="BI120">
        <v>2.350936968</v>
      </c>
      <c r="BJ120">
        <v>0.398637138</v>
      </c>
      <c r="BK120">
        <v>8</v>
      </c>
      <c r="BL120"/>
      <c r="BM120"/>
      <c r="BN120"/>
      <c r="BO120"/>
      <c r="BP120"/>
      <c r="BQ120"/>
      <c r="BR120"/>
      <c r="BS120"/>
      <c r="BT120"/>
      <c r="BU120"/>
      <c r="BV120"/>
      <c r="BW120"/>
      <c r="BX120"/>
    </row>
    <row r="121" s="1" customFormat="1" ht="15" customHeight="1" spans="1:76">
      <c r="A121">
        <v>45</v>
      </c>
      <c r="B121">
        <v>125</v>
      </c>
      <c r="C121" t="s">
        <v>461</v>
      </c>
      <c r="D121" t="s">
        <v>462</v>
      </c>
      <c r="E121">
        <v>2023</v>
      </c>
      <c r="F121" t="s">
        <v>463</v>
      </c>
      <c r="G121" t="s">
        <v>464</v>
      </c>
      <c r="H121" t="s">
        <v>198</v>
      </c>
      <c r="I121" t="s">
        <v>110</v>
      </c>
      <c r="J121" t="s">
        <v>96</v>
      </c>
      <c r="K121" t="s">
        <v>9</v>
      </c>
      <c r="L121" t="s">
        <v>126</v>
      </c>
      <c r="M121" t="s">
        <v>168</v>
      </c>
      <c r="N121" t="s">
        <v>268</v>
      </c>
      <c r="O121" t="s">
        <v>112</v>
      </c>
      <c r="P121" t="s">
        <v>149</v>
      </c>
      <c r="Q121" t="s">
        <v>210</v>
      </c>
      <c r="R121" t="s">
        <v>103</v>
      </c>
      <c r="S121" t="s">
        <v>104</v>
      </c>
      <c r="T121"/>
      <c r="U121"/>
      <c r="V121"/>
      <c r="W121"/>
      <c r="X121"/>
      <c r="Y121"/>
      <c r="Z121"/>
      <c r="AA121"/>
      <c r="AB121"/>
      <c r="AC121"/>
      <c r="AD121"/>
      <c r="AE121"/>
      <c r="AF121">
        <v>32.1075</v>
      </c>
      <c r="AG121">
        <v>118.905278</v>
      </c>
      <c r="AH121" t="s">
        <v>465</v>
      </c>
      <c r="AI121">
        <v>65</v>
      </c>
      <c r="AJ121">
        <v>110</v>
      </c>
      <c r="AK121" t="s">
        <v>86</v>
      </c>
      <c r="AL121">
        <v>96</v>
      </c>
      <c r="AM121">
        <v>8</v>
      </c>
      <c r="AN121" t="s">
        <v>116</v>
      </c>
      <c r="AO121" t="s">
        <v>161</v>
      </c>
      <c r="AP121" t="s">
        <v>466</v>
      </c>
      <c r="AQ121" t="s">
        <v>89</v>
      </c>
      <c r="AR121" t="s">
        <v>391</v>
      </c>
      <c r="AS121" t="s">
        <v>82</v>
      </c>
      <c r="AT121" t="s">
        <v>90</v>
      </c>
      <c r="AU121" t="s">
        <v>91</v>
      </c>
      <c r="AV121" t="s">
        <v>92</v>
      </c>
      <c r="AW121" t="s">
        <v>93</v>
      </c>
      <c r="AX121" t="s">
        <v>121</v>
      </c>
      <c r="AY121" t="s">
        <v>95</v>
      </c>
      <c r="AZ121">
        <v>2.545144804</v>
      </c>
      <c r="BA121">
        <v>0.357751278</v>
      </c>
      <c r="BB121">
        <v>8</v>
      </c>
      <c r="BC121">
        <v>2.483816014</v>
      </c>
      <c r="BD121">
        <v>0.541737649</v>
      </c>
      <c r="BE121">
        <v>8</v>
      </c>
      <c r="BF121">
        <v>2.65758092</v>
      </c>
      <c r="BG121">
        <v>0.429301533</v>
      </c>
      <c r="BH121">
        <v>8</v>
      </c>
      <c r="BI121">
        <v>2.350936968</v>
      </c>
      <c r="BJ121">
        <v>0.173764906</v>
      </c>
      <c r="BK121">
        <v>8</v>
      </c>
      <c r="BL121"/>
      <c r="BM121"/>
      <c r="BN121"/>
      <c r="BO121"/>
      <c r="BP121"/>
      <c r="BQ121"/>
      <c r="BR121"/>
      <c r="BS121"/>
      <c r="BT121"/>
      <c r="BU121"/>
      <c r="BV121"/>
      <c r="BW121"/>
      <c r="BX121"/>
    </row>
    <row r="122" s="1" customFormat="1" ht="15" customHeight="1" spans="1:76">
      <c r="A122">
        <v>45</v>
      </c>
      <c r="B122">
        <v>126</v>
      </c>
      <c r="C122" t="s">
        <v>461</v>
      </c>
      <c r="D122" t="s">
        <v>462</v>
      </c>
      <c r="E122">
        <v>2023</v>
      </c>
      <c r="F122" t="s">
        <v>463</v>
      </c>
      <c r="G122" t="s">
        <v>464</v>
      </c>
      <c r="H122" t="s">
        <v>198</v>
      </c>
      <c r="I122" t="s">
        <v>110</v>
      </c>
      <c r="J122" t="s">
        <v>96</v>
      </c>
      <c r="K122" t="s">
        <v>9</v>
      </c>
      <c r="L122" t="s">
        <v>146</v>
      </c>
      <c r="M122" t="s">
        <v>147</v>
      </c>
      <c r="N122" t="s">
        <v>148</v>
      </c>
      <c r="O122" t="s">
        <v>112</v>
      </c>
      <c r="P122" t="s">
        <v>149</v>
      </c>
      <c r="Q122" t="s">
        <v>102</v>
      </c>
      <c r="R122" t="s">
        <v>103</v>
      </c>
      <c r="S122" t="s">
        <v>104</v>
      </c>
      <c r="T122"/>
      <c r="U122"/>
      <c r="V122"/>
      <c r="W122"/>
      <c r="X122"/>
      <c r="Y122"/>
      <c r="Z122"/>
      <c r="AA122"/>
      <c r="AB122"/>
      <c r="AC122"/>
      <c r="AD122"/>
      <c r="AE122"/>
      <c r="AF122">
        <v>32.1075</v>
      </c>
      <c r="AG122">
        <v>118.905278</v>
      </c>
      <c r="AH122" t="s">
        <v>465</v>
      </c>
      <c r="AI122">
        <v>65</v>
      </c>
      <c r="AJ122">
        <v>110</v>
      </c>
      <c r="AK122" t="s">
        <v>86</v>
      </c>
      <c r="AL122">
        <v>96</v>
      </c>
      <c r="AM122">
        <v>8</v>
      </c>
      <c r="AN122" t="s">
        <v>116</v>
      </c>
      <c r="AO122" t="s">
        <v>161</v>
      </c>
      <c r="AP122" t="s">
        <v>466</v>
      </c>
      <c r="AQ122" t="s">
        <v>89</v>
      </c>
      <c r="AR122" t="s">
        <v>391</v>
      </c>
      <c r="AS122" t="s">
        <v>82</v>
      </c>
      <c r="AT122" t="s">
        <v>90</v>
      </c>
      <c r="AU122" t="s">
        <v>91</v>
      </c>
      <c r="AV122" t="s">
        <v>92</v>
      </c>
      <c r="AW122" t="s">
        <v>93</v>
      </c>
      <c r="AX122" t="s">
        <v>121</v>
      </c>
      <c r="AY122" t="s">
        <v>95</v>
      </c>
      <c r="AZ122">
        <v>3.426523297</v>
      </c>
      <c r="BA122">
        <v>0.630824373</v>
      </c>
      <c r="BB122">
        <v>8</v>
      </c>
      <c r="BC122">
        <v>4.616487455</v>
      </c>
      <c r="BD122">
        <v>1.347670251</v>
      </c>
      <c r="BE122">
        <v>8</v>
      </c>
      <c r="BF122">
        <v>3.913978495</v>
      </c>
      <c r="BG122">
        <v>0.602150538</v>
      </c>
      <c r="BH122">
        <v>8</v>
      </c>
      <c r="BI122">
        <v>3.842293907</v>
      </c>
      <c r="BJ122">
        <v>0.931899642</v>
      </c>
      <c r="BK122">
        <v>8</v>
      </c>
      <c r="BL122"/>
      <c r="BM122"/>
      <c r="BN122"/>
      <c r="BO122"/>
      <c r="BP122"/>
      <c r="BQ122"/>
      <c r="BR122"/>
      <c r="BS122"/>
      <c r="BT122"/>
      <c r="BU122"/>
      <c r="BV122"/>
      <c r="BW122"/>
      <c r="BX122"/>
    </row>
    <row r="123" s="1" customFormat="1" ht="15" customHeight="1" spans="1:76">
      <c r="A123">
        <v>45</v>
      </c>
      <c r="B123">
        <v>127</v>
      </c>
      <c r="C123" t="s">
        <v>461</v>
      </c>
      <c r="D123" t="s">
        <v>462</v>
      </c>
      <c r="E123">
        <v>2023</v>
      </c>
      <c r="F123" t="s">
        <v>463</v>
      </c>
      <c r="G123" t="s">
        <v>464</v>
      </c>
      <c r="H123" t="s">
        <v>198</v>
      </c>
      <c r="I123" t="s">
        <v>110</v>
      </c>
      <c r="J123" t="s">
        <v>96</v>
      </c>
      <c r="K123" t="s">
        <v>9</v>
      </c>
      <c r="L123" t="s">
        <v>146</v>
      </c>
      <c r="M123" t="s">
        <v>147</v>
      </c>
      <c r="N123" t="s">
        <v>148</v>
      </c>
      <c r="O123" t="s">
        <v>112</v>
      </c>
      <c r="P123" t="s">
        <v>149</v>
      </c>
      <c r="Q123" t="s">
        <v>102</v>
      </c>
      <c r="R123" t="s">
        <v>103</v>
      </c>
      <c r="S123" t="s">
        <v>104</v>
      </c>
      <c r="T123"/>
      <c r="U123"/>
      <c r="V123"/>
      <c r="W123"/>
      <c r="X123"/>
      <c r="Y123"/>
      <c r="Z123"/>
      <c r="AA123"/>
      <c r="AB123"/>
      <c r="AC123"/>
      <c r="AD123"/>
      <c r="AE123"/>
      <c r="AF123">
        <v>32.1075</v>
      </c>
      <c r="AG123">
        <v>118.905278</v>
      </c>
      <c r="AH123" t="s">
        <v>465</v>
      </c>
      <c r="AI123">
        <v>65</v>
      </c>
      <c r="AJ123">
        <v>110</v>
      </c>
      <c r="AK123" t="s">
        <v>86</v>
      </c>
      <c r="AL123">
        <v>96</v>
      </c>
      <c r="AM123">
        <v>8</v>
      </c>
      <c r="AN123" t="s">
        <v>116</v>
      </c>
      <c r="AO123" t="s">
        <v>161</v>
      </c>
      <c r="AP123" t="s">
        <v>466</v>
      </c>
      <c r="AQ123" t="s">
        <v>89</v>
      </c>
      <c r="AR123" t="s">
        <v>391</v>
      </c>
      <c r="AS123" t="s">
        <v>82</v>
      </c>
      <c r="AT123" t="s">
        <v>90</v>
      </c>
      <c r="AU123" t="s">
        <v>91</v>
      </c>
      <c r="AV123" t="s">
        <v>92</v>
      </c>
      <c r="AW123" t="s">
        <v>93</v>
      </c>
      <c r="AX123" t="s">
        <v>121</v>
      </c>
      <c r="AY123" t="s">
        <v>95</v>
      </c>
      <c r="AZ123">
        <v>3.426523297</v>
      </c>
      <c r="BA123">
        <v>0.630824373</v>
      </c>
      <c r="BB123">
        <v>8</v>
      </c>
      <c r="BC123">
        <v>4.215053763</v>
      </c>
      <c r="BD123">
        <v>1.562724014</v>
      </c>
      <c r="BE123">
        <v>8</v>
      </c>
      <c r="BF123">
        <v>3.913978495</v>
      </c>
      <c r="BG123">
        <v>0.602150538</v>
      </c>
      <c r="BH123">
        <v>8</v>
      </c>
      <c r="BI123">
        <v>3.598566308</v>
      </c>
      <c r="BJ123">
        <v>0.946236559</v>
      </c>
      <c r="BK123">
        <v>8</v>
      </c>
      <c r="BL123"/>
      <c r="BM123"/>
      <c r="BN123"/>
      <c r="BO123"/>
      <c r="BP123"/>
      <c r="BQ123"/>
      <c r="BR123"/>
      <c r="BS123"/>
      <c r="BT123"/>
      <c r="BU123"/>
      <c r="BV123"/>
      <c r="BW123"/>
      <c r="BX123"/>
    </row>
    <row r="124" s="1" customFormat="1" ht="15" customHeight="1" spans="1:76">
      <c r="A124">
        <v>45</v>
      </c>
      <c r="B124">
        <v>128</v>
      </c>
      <c r="C124" t="s">
        <v>461</v>
      </c>
      <c r="D124" t="s">
        <v>462</v>
      </c>
      <c r="E124">
        <v>2023</v>
      </c>
      <c r="F124" t="s">
        <v>463</v>
      </c>
      <c r="G124" t="s">
        <v>464</v>
      </c>
      <c r="H124" t="s">
        <v>198</v>
      </c>
      <c r="I124" t="s">
        <v>110</v>
      </c>
      <c r="J124" t="s">
        <v>96</v>
      </c>
      <c r="K124" t="s">
        <v>9</v>
      </c>
      <c r="L124" t="s">
        <v>126</v>
      </c>
      <c r="M124" t="s">
        <v>168</v>
      </c>
      <c r="N124" t="s">
        <v>268</v>
      </c>
      <c r="O124" t="s">
        <v>112</v>
      </c>
      <c r="P124" t="s">
        <v>149</v>
      </c>
      <c r="Q124" t="s">
        <v>210</v>
      </c>
      <c r="R124" t="s">
        <v>103</v>
      </c>
      <c r="S124" t="s">
        <v>104</v>
      </c>
      <c r="T124"/>
      <c r="U124"/>
      <c r="V124"/>
      <c r="W124"/>
      <c r="X124"/>
      <c r="Y124"/>
      <c r="Z124"/>
      <c r="AA124"/>
      <c r="AB124"/>
      <c r="AC124"/>
      <c r="AD124"/>
      <c r="AE124"/>
      <c r="AF124">
        <v>32.1075</v>
      </c>
      <c r="AG124">
        <v>118.905278</v>
      </c>
      <c r="AH124" t="s">
        <v>465</v>
      </c>
      <c r="AI124">
        <v>65</v>
      </c>
      <c r="AJ124">
        <v>110</v>
      </c>
      <c r="AK124" t="s">
        <v>86</v>
      </c>
      <c r="AL124">
        <v>96</v>
      </c>
      <c r="AM124">
        <v>8</v>
      </c>
      <c r="AN124" t="s">
        <v>116</v>
      </c>
      <c r="AO124" t="s">
        <v>161</v>
      </c>
      <c r="AP124" t="s">
        <v>466</v>
      </c>
      <c r="AQ124" t="s">
        <v>89</v>
      </c>
      <c r="AR124" t="s">
        <v>89</v>
      </c>
      <c r="AS124" t="s">
        <v>82</v>
      </c>
      <c r="AT124" t="s">
        <v>90</v>
      </c>
      <c r="AU124" t="s">
        <v>119</v>
      </c>
      <c r="AV124" t="s">
        <v>175</v>
      </c>
      <c r="AW124" t="s">
        <v>93</v>
      </c>
      <c r="AX124" t="s">
        <v>121</v>
      </c>
      <c r="AY124" t="s">
        <v>95</v>
      </c>
      <c r="AZ124">
        <v>3.308737864</v>
      </c>
      <c r="BA124">
        <v>0.40776699</v>
      </c>
      <c r="BB124">
        <v>8</v>
      </c>
      <c r="BC124">
        <v>4.462135922</v>
      </c>
      <c r="BD124">
        <v>0.419417476</v>
      </c>
      <c r="BE124">
        <v>8</v>
      </c>
      <c r="BF124">
        <v>3.238834951</v>
      </c>
      <c r="BG124">
        <v>0.349514563</v>
      </c>
      <c r="BH124">
        <v>8</v>
      </c>
      <c r="BI124">
        <v>3.926213592</v>
      </c>
      <c r="BJ124">
        <v>0.699029126</v>
      </c>
      <c r="BK124">
        <v>8</v>
      </c>
      <c r="BL124"/>
      <c r="BM124"/>
      <c r="BN124"/>
      <c r="BO124"/>
      <c r="BP124"/>
      <c r="BQ124"/>
      <c r="BR124"/>
      <c r="BS124"/>
      <c r="BT124"/>
      <c r="BU124"/>
      <c r="BV124"/>
      <c r="BW124"/>
      <c r="BX124"/>
    </row>
    <row r="125" s="1" customFormat="1" ht="15" customHeight="1" spans="1:76">
      <c r="A125">
        <v>45</v>
      </c>
      <c r="B125">
        <v>129</v>
      </c>
      <c r="C125" t="s">
        <v>461</v>
      </c>
      <c r="D125" t="s">
        <v>462</v>
      </c>
      <c r="E125">
        <v>2023</v>
      </c>
      <c r="F125" t="s">
        <v>463</v>
      </c>
      <c r="G125" t="s">
        <v>464</v>
      </c>
      <c r="H125" t="s">
        <v>198</v>
      </c>
      <c r="I125" t="s">
        <v>110</v>
      </c>
      <c r="J125" t="s">
        <v>96</v>
      </c>
      <c r="K125" t="s">
        <v>9</v>
      </c>
      <c r="L125" t="s">
        <v>126</v>
      </c>
      <c r="M125" t="s">
        <v>168</v>
      </c>
      <c r="N125" t="s">
        <v>268</v>
      </c>
      <c r="O125" t="s">
        <v>112</v>
      </c>
      <c r="P125" t="s">
        <v>149</v>
      </c>
      <c r="Q125" t="s">
        <v>210</v>
      </c>
      <c r="R125" t="s">
        <v>103</v>
      </c>
      <c r="S125" t="s">
        <v>104</v>
      </c>
      <c r="T125"/>
      <c r="U125"/>
      <c r="V125"/>
      <c r="W125"/>
      <c r="X125"/>
      <c r="Y125"/>
      <c r="Z125"/>
      <c r="AA125"/>
      <c r="AB125"/>
      <c r="AC125"/>
      <c r="AD125"/>
      <c r="AE125"/>
      <c r="AF125">
        <v>32.1075</v>
      </c>
      <c r="AG125">
        <v>118.905278</v>
      </c>
      <c r="AH125" t="s">
        <v>465</v>
      </c>
      <c r="AI125">
        <v>65</v>
      </c>
      <c r="AJ125">
        <v>110</v>
      </c>
      <c r="AK125" t="s">
        <v>86</v>
      </c>
      <c r="AL125">
        <v>96</v>
      </c>
      <c r="AM125">
        <v>8</v>
      </c>
      <c r="AN125" t="s">
        <v>116</v>
      </c>
      <c r="AO125" t="s">
        <v>161</v>
      </c>
      <c r="AP125" t="s">
        <v>466</v>
      </c>
      <c r="AQ125" t="s">
        <v>89</v>
      </c>
      <c r="AR125" t="s">
        <v>89</v>
      </c>
      <c r="AS125" t="s">
        <v>82</v>
      </c>
      <c r="AT125" t="s">
        <v>90</v>
      </c>
      <c r="AU125" t="s">
        <v>119</v>
      </c>
      <c r="AV125" t="s">
        <v>175</v>
      </c>
      <c r="AW125" t="s">
        <v>93</v>
      </c>
      <c r="AX125" t="s">
        <v>121</v>
      </c>
      <c r="AY125" t="s">
        <v>95</v>
      </c>
      <c r="AZ125">
        <v>3.308737864</v>
      </c>
      <c r="BA125">
        <v>0.40776699</v>
      </c>
      <c r="BB125">
        <v>8</v>
      </c>
      <c r="BC125">
        <v>4.462135922</v>
      </c>
      <c r="BD125">
        <v>0.419417476</v>
      </c>
      <c r="BE125">
        <v>8</v>
      </c>
      <c r="BF125">
        <v>3.203883495</v>
      </c>
      <c r="BG125">
        <v>0.652427184</v>
      </c>
      <c r="BH125">
        <v>8</v>
      </c>
      <c r="BI125">
        <v>3.658252427</v>
      </c>
      <c r="BJ125">
        <v>0.524271845</v>
      </c>
      <c r="BK125">
        <v>8</v>
      </c>
      <c r="BL125"/>
      <c r="BM125"/>
      <c r="BN125"/>
      <c r="BO125"/>
      <c r="BP125"/>
      <c r="BQ125"/>
      <c r="BR125"/>
      <c r="BS125"/>
      <c r="BT125"/>
      <c r="BU125"/>
      <c r="BV125"/>
      <c r="BW125"/>
      <c r="BX125"/>
    </row>
    <row r="126" s="1" customFormat="1" ht="15" customHeight="1" spans="1:76">
      <c r="A126">
        <v>45</v>
      </c>
      <c r="B126">
        <v>130</v>
      </c>
      <c r="C126" t="s">
        <v>461</v>
      </c>
      <c r="D126" t="s">
        <v>462</v>
      </c>
      <c r="E126">
        <v>2023</v>
      </c>
      <c r="F126" t="s">
        <v>463</v>
      </c>
      <c r="G126" t="s">
        <v>464</v>
      </c>
      <c r="H126" t="s">
        <v>198</v>
      </c>
      <c r="I126" t="s">
        <v>110</v>
      </c>
      <c r="J126" t="s">
        <v>96</v>
      </c>
      <c r="K126" t="s">
        <v>9</v>
      </c>
      <c r="L126" t="s">
        <v>146</v>
      </c>
      <c r="M126" t="s">
        <v>147</v>
      </c>
      <c r="N126" t="s">
        <v>148</v>
      </c>
      <c r="O126" t="s">
        <v>112</v>
      </c>
      <c r="P126" t="s">
        <v>149</v>
      </c>
      <c r="Q126" t="s">
        <v>102</v>
      </c>
      <c r="R126" t="s">
        <v>103</v>
      </c>
      <c r="S126" t="s">
        <v>104</v>
      </c>
      <c r="T126"/>
      <c r="U126"/>
      <c r="V126"/>
      <c r="W126"/>
      <c r="X126"/>
      <c r="Y126"/>
      <c r="Z126"/>
      <c r="AA126"/>
      <c r="AB126"/>
      <c r="AC126"/>
      <c r="AD126"/>
      <c r="AE126"/>
      <c r="AF126">
        <v>32.1075</v>
      </c>
      <c r="AG126">
        <v>118.905278</v>
      </c>
      <c r="AH126" t="s">
        <v>465</v>
      </c>
      <c r="AI126">
        <v>65</v>
      </c>
      <c r="AJ126">
        <v>110</v>
      </c>
      <c r="AK126" t="s">
        <v>86</v>
      </c>
      <c r="AL126">
        <v>96</v>
      </c>
      <c r="AM126">
        <v>8</v>
      </c>
      <c r="AN126" t="s">
        <v>116</v>
      </c>
      <c r="AO126" t="s">
        <v>161</v>
      </c>
      <c r="AP126" t="s">
        <v>466</v>
      </c>
      <c r="AQ126" t="s">
        <v>89</v>
      </c>
      <c r="AR126" t="s">
        <v>89</v>
      </c>
      <c r="AS126" t="s">
        <v>82</v>
      </c>
      <c r="AT126" t="s">
        <v>90</v>
      </c>
      <c r="AU126" t="s">
        <v>119</v>
      </c>
      <c r="AV126" t="s">
        <v>175</v>
      </c>
      <c r="AW126" t="s">
        <v>93</v>
      </c>
      <c r="AX126" t="s">
        <v>121</v>
      </c>
      <c r="AY126" t="s">
        <v>95</v>
      </c>
      <c r="AZ126">
        <v>3.698924731</v>
      </c>
      <c r="BA126">
        <v>0.702508961</v>
      </c>
      <c r="BB126">
        <v>8</v>
      </c>
      <c r="BC126">
        <v>1.605734767</v>
      </c>
      <c r="BD126">
        <v>0.759856631</v>
      </c>
      <c r="BE126">
        <v>8</v>
      </c>
      <c r="BF126">
        <v>4.817204301</v>
      </c>
      <c r="BG126">
        <v>1.419354839</v>
      </c>
      <c r="BH126">
        <v>8</v>
      </c>
      <c r="BI126">
        <v>3.139784946</v>
      </c>
      <c r="BJ126">
        <v>1.189964158</v>
      </c>
      <c r="BK126">
        <v>8</v>
      </c>
      <c r="BL126"/>
      <c r="BM126"/>
      <c r="BN126"/>
      <c r="BO126"/>
      <c r="BP126"/>
      <c r="BQ126"/>
      <c r="BR126"/>
      <c r="BS126"/>
      <c r="BT126"/>
      <c r="BU126"/>
      <c r="BV126"/>
      <c r="BW126"/>
      <c r="BX126"/>
    </row>
    <row r="127" s="1" customFormat="1" ht="15" customHeight="1" spans="1:76">
      <c r="A127">
        <v>45</v>
      </c>
      <c r="B127">
        <v>131</v>
      </c>
      <c r="C127" t="s">
        <v>461</v>
      </c>
      <c r="D127" t="s">
        <v>462</v>
      </c>
      <c r="E127">
        <v>2023</v>
      </c>
      <c r="F127" t="s">
        <v>463</v>
      </c>
      <c r="G127" t="s">
        <v>464</v>
      </c>
      <c r="H127" t="s">
        <v>198</v>
      </c>
      <c r="I127" t="s">
        <v>110</v>
      </c>
      <c r="J127" t="s">
        <v>96</v>
      </c>
      <c r="K127" t="s">
        <v>9</v>
      </c>
      <c r="L127" t="s">
        <v>146</v>
      </c>
      <c r="M127" t="s">
        <v>147</v>
      </c>
      <c r="N127" t="s">
        <v>148</v>
      </c>
      <c r="O127" t="s">
        <v>112</v>
      </c>
      <c r="P127" t="s">
        <v>149</v>
      </c>
      <c r="Q127" t="s">
        <v>102</v>
      </c>
      <c r="R127" t="s">
        <v>103</v>
      </c>
      <c r="S127" t="s">
        <v>104</v>
      </c>
      <c r="T127"/>
      <c r="U127"/>
      <c r="V127"/>
      <c r="W127"/>
      <c r="X127"/>
      <c r="Y127"/>
      <c r="Z127"/>
      <c r="AA127"/>
      <c r="AB127"/>
      <c r="AC127"/>
      <c r="AD127"/>
      <c r="AE127"/>
      <c r="AF127">
        <v>32.1075</v>
      </c>
      <c r="AG127">
        <v>118.905278</v>
      </c>
      <c r="AH127" t="s">
        <v>465</v>
      </c>
      <c r="AI127">
        <v>65</v>
      </c>
      <c r="AJ127">
        <v>110</v>
      </c>
      <c r="AK127" t="s">
        <v>86</v>
      </c>
      <c r="AL127">
        <v>96</v>
      </c>
      <c r="AM127">
        <v>8</v>
      </c>
      <c r="AN127" t="s">
        <v>116</v>
      </c>
      <c r="AO127" t="s">
        <v>161</v>
      </c>
      <c r="AP127" t="s">
        <v>466</v>
      </c>
      <c r="AQ127" t="s">
        <v>89</v>
      </c>
      <c r="AR127" t="s">
        <v>89</v>
      </c>
      <c r="AS127" t="s">
        <v>82</v>
      </c>
      <c r="AT127" t="s">
        <v>90</v>
      </c>
      <c r="AU127" t="s">
        <v>119</v>
      </c>
      <c r="AV127" t="s">
        <v>175</v>
      </c>
      <c r="AW127" t="s">
        <v>93</v>
      </c>
      <c r="AX127" t="s">
        <v>121</v>
      </c>
      <c r="AY127" t="s">
        <v>95</v>
      </c>
      <c r="AZ127">
        <v>3.698924731</v>
      </c>
      <c r="BA127">
        <v>0.702508961</v>
      </c>
      <c r="BB127">
        <v>8</v>
      </c>
      <c r="BC127">
        <v>1.605734767</v>
      </c>
      <c r="BD127">
        <v>0.759856631</v>
      </c>
      <c r="BE127">
        <v>8</v>
      </c>
      <c r="BF127">
        <v>4.444444444</v>
      </c>
      <c r="BG127">
        <v>1.634408602</v>
      </c>
      <c r="BH127">
        <v>8</v>
      </c>
      <c r="BI127">
        <v>3.94265233</v>
      </c>
      <c r="BJ127">
        <v>0.387096774</v>
      </c>
      <c r="BK127">
        <v>8</v>
      </c>
      <c r="BL127"/>
      <c r="BM127"/>
      <c r="BN127"/>
      <c r="BO127"/>
      <c r="BP127"/>
      <c r="BQ127"/>
      <c r="BR127"/>
      <c r="BS127"/>
      <c r="BT127"/>
      <c r="BU127"/>
      <c r="BV127"/>
      <c r="BW127"/>
      <c r="BX127"/>
    </row>
    <row r="128" s="1" customFormat="1" ht="15" customHeight="1" spans="1:76">
      <c r="A128">
        <v>45</v>
      </c>
      <c r="B128">
        <v>132</v>
      </c>
      <c r="C128" t="s">
        <v>461</v>
      </c>
      <c r="D128" t="s">
        <v>462</v>
      </c>
      <c r="E128">
        <v>2023</v>
      </c>
      <c r="F128" t="s">
        <v>463</v>
      </c>
      <c r="G128" t="s">
        <v>464</v>
      </c>
      <c r="H128" t="s">
        <v>198</v>
      </c>
      <c r="I128" t="s">
        <v>110</v>
      </c>
      <c r="J128" t="s">
        <v>96</v>
      </c>
      <c r="K128" t="s">
        <v>9</v>
      </c>
      <c r="L128" t="s">
        <v>126</v>
      </c>
      <c r="M128" t="s">
        <v>168</v>
      </c>
      <c r="N128" t="s">
        <v>268</v>
      </c>
      <c r="O128" t="s">
        <v>112</v>
      </c>
      <c r="P128" t="s">
        <v>149</v>
      </c>
      <c r="Q128" t="s">
        <v>210</v>
      </c>
      <c r="R128" t="s">
        <v>103</v>
      </c>
      <c r="S128" t="s">
        <v>104</v>
      </c>
      <c r="T128"/>
      <c r="U128"/>
      <c r="V128"/>
      <c r="W128"/>
      <c r="X128"/>
      <c r="Y128"/>
      <c r="Z128"/>
      <c r="AA128"/>
      <c r="AB128"/>
      <c r="AC128"/>
      <c r="AD128"/>
      <c r="AE128"/>
      <c r="AF128">
        <v>32.1075</v>
      </c>
      <c r="AG128">
        <v>118.905278</v>
      </c>
      <c r="AH128" t="s">
        <v>465</v>
      </c>
      <c r="AI128">
        <v>65</v>
      </c>
      <c r="AJ128">
        <v>110</v>
      </c>
      <c r="AK128" t="s">
        <v>86</v>
      </c>
      <c r="AL128">
        <v>96</v>
      </c>
      <c r="AM128">
        <v>8</v>
      </c>
      <c r="AN128" t="s">
        <v>116</v>
      </c>
      <c r="AO128" t="s">
        <v>161</v>
      </c>
      <c r="AP128" t="s">
        <v>466</v>
      </c>
      <c r="AQ128" t="s">
        <v>89</v>
      </c>
      <c r="AR128" t="s">
        <v>89</v>
      </c>
      <c r="AS128" t="s">
        <v>82</v>
      </c>
      <c r="AT128" t="s">
        <v>90</v>
      </c>
      <c r="AU128" t="s">
        <v>91</v>
      </c>
      <c r="AV128" t="s">
        <v>92</v>
      </c>
      <c r="AW128" t="s">
        <v>93</v>
      </c>
      <c r="AX128" t="s">
        <v>121</v>
      </c>
      <c r="AY128" t="s">
        <v>95</v>
      </c>
      <c r="AZ128">
        <v>3.308737864</v>
      </c>
      <c r="BA128">
        <v>0.40776699</v>
      </c>
      <c r="BB128">
        <v>8</v>
      </c>
      <c r="BC128">
        <v>3.238834951</v>
      </c>
      <c r="BD128">
        <v>0.349514563</v>
      </c>
      <c r="BE128">
        <v>8</v>
      </c>
      <c r="BF128">
        <v>3.436893204</v>
      </c>
      <c r="BG128">
        <v>0.559223301</v>
      </c>
      <c r="BH128">
        <v>8</v>
      </c>
      <c r="BI128">
        <v>3.06407767</v>
      </c>
      <c r="BJ128">
        <v>0.396116505</v>
      </c>
      <c r="BK128">
        <v>8</v>
      </c>
      <c r="BL128"/>
      <c r="BM128"/>
      <c r="BN128"/>
      <c r="BO128"/>
      <c r="BP128"/>
      <c r="BQ128"/>
      <c r="BR128"/>
      <c r="BS128"/>
      <c r="BT128"/>
      <c r="BU128"/>
      <c r="BV128"/>
      <c r="BW128"/>
      <c r="BX128"/>
    </row>
    <row r="129" s="1" customFormat="1" ht="15" customHeight="1" spans="1:76">
      <c r="A129">
        <v>45</v>
      </c>
      <c r="B129">
        <v>133</v>
      </c>
      <c r="C129" t="s">
        <v>461</v>
      </c>
      <c r="D129" t="s">
        <v>462</v>
      </c>
      <c r="E129">
        <v>2023</v>
      </c>
      <c r="F129" t="s">
        <v>463</v>
      </c>
      <c r="G129" t="s">
        <v>464</v>
      </c>
      <c r="H129" t="s">
        <v>198</v>
      </c>
      <c r="I129" t="s">
        <v>110</v>
      </c>
      <c r="J129" t="s">
        <v>96</v>
      </c>
      <c r="K129" t="s">
        <v>9</v>
      </c>
      <c r="L129" t="s">
        <v>126</v>
      </c>
      <c r="M129" t="s">
        <v>168</v>
      </c>
      <c r="N129" t="s">
        <v>268</v>
      </c>
      <c r="O129" t="s">
        <v>112</v>
      </c>
      <c r="P129" t="s">
        <v>149</v>
      </c>
      <c r="Q129" t="s">
        <v>210</v>
      </c>
      <c r="R129" t="s">
        <v>103</v>
      </c>
      <c r="S129" t="s">
        <v>104</v>
      </c>
      <c r="T129"/>
      <c r="U129"/>
      <c r="V129"/>
      <c r="W129"/>
      <c r="X129"/>
      <c r="Y129"/>
      <c r="Z129"/>
      <c r="AA129"/>
      <c r="AB129"/>
      <c r="AC129"/>
      <c r="AD129"/>
      <c r="AE129"/>
      <c r="AF129">
        <v>32.1075</v>
      </c>
      <c r="AG129">
        <v>118.905278</v>
      </c>
      <c r="AH129" t="s">
        <v>465</v>
      </c>
      <c r="AI129">
        <v>65</v>
      </c>
      <c r="AJ129">
        <v>110</v>
      </c>
      <c r="AK129" t="s">
        <v>86</v>
      </c>
      <c r="AL129">
        <v>96</v>
      </c>
      <c r="AM129">
        <v>8</v>
      </c>
      <c r="AN129" t="s">
        <v>116</v>
      </c>
      <c r="AO129" t="s">
        <v>161</v>
      </c>
      <c r="AP129" t="s">
        <v>466</v>
      </c>
      <c r="AQ129" t="s">
        <v>89</v>
      </c>
      <c r="AR129" t="s">
        <v>89</v>
      </c>
      <c r="AS129" t="s">
        <v>82</v>
      </c>
      <c r="AT129" t="s">
        <v>90</v>
      </c>
      <c r="AU129" t="s">
        <v>91</v>
      </c>
      <c r="AV129" t="s">
        <v>92</v>
      </c>
      <c r="AW129" t="s">
        <v>93</v>
      </c>
      <c r="AX129" t="s">
        <v>121</v>
      </c>
      <c r="AY129" t="s">
        <v>95</v>
      </c>
      <c r="AZ129">
        <v>3.308737864</v>
      </c>
      <c r="BA129">
        <v>0.40776699</v>
      </c>
      <c r="BB129">
        <v>8</v>
      </c>
      <c r="BC129">
        <v>3.203883495</v>
      </c>
      <c r="BD129">
        <v>0.652427184</v>
      </c>
      <c r="BE129">
        <v>8</v>
      </c>
      <c r="BF129">
        <v>3.436893204</v>
      </c>
      <c r="BG129">
        <v>0.559223301</v>
      </c>
      <c r="BH129">
        <v>8</v>
      </c>
      <c r="BI129">
        <v>3.133980583</v>
      </c>
      <c r="BJ129">
        <v>0.151456311</v>
      </c>
      <c r="BK129">
        <v>8</v>
      </c>
      <c r="BL129"/>
      <c r="BM129"/>
      <c r="BN129"/>
      <c r="BO129"/>
      <c r="BP129"/>
      <c r="BQ129"/>
      <c r="BR129"/>
      <c r="BS129"/>
      <c r="BT129"/>
      <c r="BU129"/>
      <c r="BV129"/>
      <c r="BW129"/>
      <c r="BX129"/>
    </row>
    <row r="130" s="1" customFormat="1" ht="15" customHeight="1" spans="1:76">
      <c r="A130">
        <v>45</v>
      </c>
      <c r="B130">
        <v>134</v>
      </c>
      <c r="C130" t="s">
        <v>461</v>
      </c>
      <c r="D130" t="s">
        <v>462</v>
      </c>
      <c r="E130">
        <v>2023</v>
      </c>
      <c r="F130" t="s">
        <v>463</v>
      </c>
      <c r="G130" t="s">
        <v>464</v>
      </c>
      <c r="H130" t="s">
        <v>198</v>
      </c>
      <c r="I130" t="s">
        <v>110</v>
      </c>
      <c r="J130" t="s">
        <v>96</v>
      </c>
      <c r="K130" t="s">
        <v>9</v>
      </c>
      <c r="L130" t="s">
        <v>146</v>
      </c>
      <c r="M130" t="s">
        <v>147</v>
      </c>
      <c r="N130" t="s">
        <v>148</v>
      </c>
      <c r="O130" t="s">
        <v>112</v>
      </c>
      <c r="P130" t="s">
        <v>149</v>
      </c>
      <c r="Q130" t="s">
        <v>102</v>
      </c>
      <c r="R130" t="s">
        <v>103</v>
      </c>
      <c r="S130" t="s">
        <v>104</v>
      </c>
      <c r="T130"/>
      <c r="U130"/>
      <c r="V130"/>
      <c r="W130"/>
      <c r="X130"/>
      <c r="Y130"/>
      <c r="Z130"/>
      <c r="AA130"/>
      <c r="AB130"/>
      <c r="AC130"/>
      <c r="AD130"/>
      <c r="AE130"/>
      <c r="AF130">
        <v>32.1075</v>
      </c>
      <c r="AG130">
        <v>118.905278</v>
      </c>
      <c r="AH130" t="s">
        <v>465</v>
      </c>
      <c r="AI130">
        <v>65</v>
      </c>
      <c r="AJ130">
        <v>110</v>
      </c>
      <c r="AK130" t="s">
        <v>86</v>
      </c>
      <c r="AL130">
        <v>96</v>
      </c>
      <c r="AM130">
        <v>8</v>
      </c>
      <c r="AN130" t="s">
        <v>116</v>
      </c>
      <c r="AO130" t="s">
        <v>161</v>
      </c>
      <c r="AP130" t="s">
        <v>466</v>
      </c>
      <c r="AQ130" t="s">
        <v>89</v>
      </c>
      <c r="AR130" t="s">
        <v>89</v>
      </c>
      <c r="AS130" t="s">
        <v>82</v>
      </c>
      <c r="AT130" t="s">
        <v>90</v>
      </c>
      <c r="AU130" t="s">
        <v>91</v>
      </c>
      <c r="AV130" t="s">
        <v>92</v>
      </c>
      <c r="AW130" t="s">
        <v>93</v>
      </c>
      <c r="AX130" t="s">
        <v>121</v>
      </c>
      <c r="AY130" t="s">
        <v>95</v>
      </c>
      <c r="AZ130">
        <v>3.698924731</v>
      </c>
      <c r="BA130">
        <v>0.702508961</v>
      </c>
      <c r="BB130">
        <v>8</v>
      </c>
      <c r="BC130">
        <v>4.817204301</v>
      </c>
      <c r="BD130">
        <v>1.419354839</v>
      </c>
      <c r="BE130">
        <v>8</v>
      </c>
      <c r="BF130">
        <v>4.129032258</v>
      </c>
      <c r="BG130">
        <v>0.64516129</v>
      </c>
      <c r="BH130">
        <v>8</v>
      </c>
      <c r="BI130">
        <v>4.05734767</v>
      </c>
      <c r="BJ130">
        <v>0.960573477</v>
      </c>
      <c r="BK130">
        <v>8</v>
      </c>
      <c r="BL130"/>
      <c r="BM130"/>
      <c r="BN130"/>
      <c r="BO130"/>
      <c r="BP130"/>
      <c r="BQ130"/>
      <c r="BR130"/>
      <c r="BS130"/>
      <c r="BT130"/>
      <c r="BU130"/>
      <c r="BV130"/>
      <c r="BW130"/>
      <c r="BX130"/>
    </row>
    <row r="131" s="1" customFormat="1" ht="15" customHeight="1" spans="1:76">
      <c r="A131">
        <v>45</v>
      </c>
      <c r="B131">
        <v>135</v>
      </c>
      <c r="C131" t="s">
        <v>461</v>
      </c>
      <c r="D131" t="s">
        <v>462</v>
      </c>
      <c r="E131">
        <v>2023</v>
      </c>
      <c r="F131" t="s">
        <v>463</v>
      </c>
      <c r="G131" t="s">
        <v>464</v>
      </c>
      <c r="H131" t="s">
        <v>198</v>
      </c>
      <c r="I131" t="s">
        <v>110</v>
      </c>
      <c r="J131" t="s">
        <v>82</v>
      </c>
      <c r="K131" t="s">
        <v>467</v>
      </c>
      <c r="L131" t="s">
        <v>84</v>
      </c>
      <c r="M131" t="s">
        <v>84</v>
      </c>
      <c r="N131" t="s">
        <v>84</v>
      </c>
      <c r="O131" t="s">
        <v>84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32.1075</v>
      </c>
      <c r="AG131">
        <v>118.905278</v>
      </c>
      <c r="AH131" t="s">
        <v>465</v>
      </c>
      <c r="AI131">
        <v>65</v>
      </c>
      <c r="AJ131">
        <v>110</v>
      </c>
      <c r="AK131" t="s">
        <v>86</v>
      </c>
      <c r="AL131">
        <v>96</v>
      </c>
      <c r="AM131">
        <v>8</v>
      </c>
      <c r="AN131" t="s">
        <v>116</v>
      </c>
      <c r="AO131" t="s">
        <v>161</v>
      </c>
      <c r="AP131" t="s">
        <v>466</v>
      </c>
      <c r="AQ131" t="s">
        <v>89</v>
      </c>
      <c r="AR131" t="s">
        <v>89</v>
      </c>
      <c r="AS131" t="s">
        <v>82</v>
      </c>
      <c r="AT131" t="s">
        <v>90</v>
      </c>
      <c r="AU131" t="s">
        <v>91</v>
      </c>
      <c r="AV131" t="s">
        <v>92</v>
      </c>
      <c r="AW131" t="s">
        <v>93</v>
      </c>
      <c r="AX131" t="s">
        <v>121</v>
      </c>
      <c r="AY131" t="s">
        <v>95</v>
      </c>
      <c r="AZ131">
        <v>3.308737864</v>
      </c>
      <c r="BA131">
        <v>0.40776699</v>
      </c>
      <c r="BB131">
        <v>8</v>
      </c>
      <c r="BC131">
        <v>3.203883495</v>
      </c>
      <c r="BD131">
        <v>0.652427184</v>
      </c>
      <c r="BE131">
        <v>8</v>
      </c>
      <c r="BF131">
        <v>3.436893204</v>
      </c>
      <c r="BG131">
        <v>0.559223301</v>
      </c>
      <c r="BH131">
        <v>8</v>
      </c>
      <c r="BI131">
        <v>3.133980583</v>
      </c>
      <c r="BJ131">
        <v>0.151456311</v>
      </c>
      <c r="BK131">
        <v>8</v>
      </c>
      <c r="BL131"/>
      <c r="BM131"/>
      <c r="BN131"/>
      <c r="BO131"/>
      <c r="BP131"/>
      <c r="BQ131"/>
      <c r="BR131"/>
      <c r="BS131"/>
      <c r="BT131"/>
      <c r="BU131"/>
      <c r="BV131"/>
      <c r="BW131"/>
      <c r="BX131"/>
    </row>
    <row r="132" s="1" customFormat="1" ht="15" customHeight="1" spans="1:76">
      <c r="A132">
        <v>45</v>
      </c>
      <c r="B132">
        <v>136</v>
      </c>
      <c r="C132" t="s">
        <v>461</v>
      </c>
      <c r="D132" t="s">
        <v>462</v>
      </c>
      <c r="E132">
        <v>2023</v>
      </c>
      <c r="F132" t="s">
        <v>463</v>
      </c>
      <c r="G132" t="s">
        <v>464</v>
      </c>
      <c r="H132" t="s">
        <v>198</v>
      </c>
      <c r="I132" t="s">
        <v>110</v>
      </c>
      <c r="J132" t="s">
        <v>96</v>
      </c>
      <c r="K132" t="s">
        <v>9</v>
      </c>
      <c r="L132" t="s">
        <v>146</v>
      </c>
      <c r="M132" t="s">
        <v>147</v>
      </c>
      <c r="N132" t="s">
        <v>148</v>
      </c>
      <c r="O132" t="s">
        <v>112</v>
      </c>
      <c r="P132" t="s">
        <v>149</v>
      </c>
      <c r="Q132" t="s">
        <v>102</v>
      </c>
      <c r="R132" t="s">
        <v>103</v>
      </c>
      <c r="S132" t="s">
        <v>104</v>
      </c>
      <c r="T132">
        <v>1</v>
      </c>
      <c r="U132">
        <v>0.79</v>
      </c>
      <c r="V132">
        <v>2</v>
      </c>
      <c r="W132"/>
      <c r="X132">
        <v>0.1</v>
      </c>
      <c r="Y132">
        <v>0.022</v>
      </c>
      <c r="Z132"/>
      <c r="AA132"/>
      <c r="AB132" t="s">
        <v>105</v>
      </c>
      <c r="AC132" t="s">
        <v>105</v>
      </c>
      <c r="AD132"/>
      <c r="AE132"/>
      <c r="AF132">
        <v>32.1075</v>
      </c>
      <c r="AG132">
        <v>118.905278</v>
      </c>
      <c r="AH132" t="s">
        <v>465</v>
      </c>
      <c r="AI132">
        <v>65</v>
      </c>
      <c r="AJ132">
        <v>110</v>
      </c>
      <c r="AK132" t="s">
        <v>86</v>
      </c>
      <c r="AL132">
        <v>96</v>
      </c>
      <c r="AM132">
        <v>8</v>
      </c>
      <c r="AN132" t="s">
        <v>116</v>
      </c>
      <c r="AO132" t="s">
        <v>161</v>
      </c>
      <c r="AP132" t="s">
        <v>466</v>
      </c>
      <c r="AQ132" t="s">
        <v>89</v>
      </c>
      <c r="AR132" t="s">
        <v>391</v>
      </c>
      <c r="AS132" t="s">
        <v>82</v>
      </c>
      <c r="AT132" t="s">
        <v>90</v>
      </c>
      <c r="AU132" t="s">
        <v>119</v>
      </c>
      <c r="AV132" t="s">
        <v>175</v>
      </c>
      <c r="AW132" t="s">
        <v>91</v>
      </c>
      <c r="AX132" t="s">
        <v>92</v>
      </c>
      <c r="AY132" t="s">
        <v>163</v>
      </c>
      <c r="AZ132">
        <v>3.426523297</v>
      </c>
      <c r="BA132">
        <v>0.630824373</v>
      </c>
      <c r="BB132">
        <v>8</v>
      </c>
      <c r="BC132">
        <v>1.505376344</v>
      </c>
      <c r="BD132">
        <v>0.716845878</v>
      </c>
      <c r="BE132">
        <v>8</v>
      </c>
      <c r="BF132">
        <v>3.913978495</v>
      </c>
      <c r="BG132">
        <v>0.602150538</v>
      </c>
      <c r="BH132">
        <v>8</v>
      </c>
      <c r="BI132">
        <v>2.82437276</v>
      </c>
      <c r="BJ132">
        <v>0.516129032</v>
      </c>
      <c r="BK132">
        <v>8</v>
      </c>
      <c r="BL132"/>
      <c r="BM132"/>
      <c r="BN132"/>
      <c r="BO132"/>
      <c r="BP132"/>
      <c r="BQ132"/>
      <c r="BR132"/>
      <c r="BS132"/>
      <c r="BT132"/>
      <c r="BU132"/>
      <c r="BV132"/>
      <c r="BW132"/>
      <c r="BX132"/>
    </row>
    <row r="133" s="1" customFormat="1" ht="15" customHeight="1" spans="1:76">
      <c r="A133">
        <v>45</v>
      </c>
      <c r="B133">
        <v>137</v>
      </c>
      <c r="C133" t="s">
        <v>461</v>
      </c>
      <c r="D133" t="s">
        <v>462</v>
      </c>
      <c r="E133">
        <v>2023</v>
      </c>
      <c r="F133" t="s">
        <v>463</v>
      </c>
      <c r="G133" t="s">
        <v>464</v>
      </c>
      <c r="H133" t="s">
        <v>198</v>
      </c>
      <c r="I133" t="s">
        <v>110</v>
      </c>
      <c r="J133" t="s">
        <v>96</v>
      </c>
      <c r="K133" t="s">
        <v>9</v>
      </c>
      <c r="L133" t="s">
        <v>126</v>
      </c>
      <c r="M133" t="s">
        <v>168</v>
      </c>
      <c r="N133" t="s">
        <v>268</v>
      </c>
      <c r="O133" t="s">
        <v>112</v>
      </c>
      <c r="P133" t="s">
        <v>149</v>
      </c>
      <c r="Q133" t="s">
        <v>210</v>
      </c>
      <c r="R133" t="s">
        <v>103</v>
      </c>
      <c r="S133" t="s">
        <v>104</v>
      </c>
      <c r="T133">
        <v>1</v>
      </c>
      <c r="U133">
        <v>0.79</v>
      </c>
      <c r="V133">
        <v>2</v>
      </c>
      <c r="W133"/>
      <c r="X133">
        <v>0.1</v>
      </c>
      <c r="Y133">
        <v>0.022</v>
      </c>
      <c r="Z133"/>
      <c r="AA133"/>
      <c r="AB133" t="s">
        <v>105</v>
      </c>
      <c r="AC133" t="s">
        <v>105</v>
      </c>
      <c r="AD133"/>
      <c r="AE133"/>
      <c r="AF133">
        <v>32.1075</v>
      </c>
      <c r="AG133">
        <v>118.905278</v>
      </c>
      <c r="AH133" t="s">
        <v>465</v>
      </c>
      <c r="AI133">
        <v>65</v>
      </c>
      <c r="AJ133">
        <v>110</v>
      </c>
      <c r="AK133" t="s">
        <v>86</v>
      </c>
      <c r="AL133">
        <v>96</v>
      </c>
      <c r="AM133">
        <v>8</v>
      </c>
      <c r="AN133" t="s">
        <v>116</v>
      </c>
      <c r="AO133" t="s">
        <v>161</v>
      </c>
      <c r="AP133" t="s">
        <v>466</v>
      </c>
      <c r="AQ133" t="s">
        <v>89</v>
      </c>
      <c r="AR133" t="s">
        <v>89</v>
      </c>
      <c r="AS133" t="s">
        <v>82</v>
      </c>
      <c r="AT133" t="s">
        <v>90</v>
      </c>
      <c r="AU133" t="s">
        <v>119</v>
      </c>
      <c r="AV133" t="s">
        <v>175</v>
      </c>
      <c r="AW133" t="s">
        <v>91</v>
      </c>
      <c r="AX133" t="s">
        <v>92</v>
      </c>
      <c r="AY133" t="s">
        <v>163</v>
      </c>
      <c r="AZ133">
        <v>3.308737864</v>
      </c>
      <c r="BA133">
        <v>0.40776699</v>
      </c>
      <c r="BB133">
        <v>8</v>
      </c>
      <c r="BC133">
        <v>4.462135922</v>
      </c>
      <c r="BD133">
        <v>0.419417476</v>
      </c>
      <c r="BE133">
        <v>8</v>
      </c>
      <c r="BF133">
        <v>3.436893204</v>
      </c>
      <c r="BG133">
        <v>0.559223301</v>
      </c>
      <c r="BH133">
        <v>8</v>
      </c>
      <c r="BI133">
        <v>4.240776699</v>
      </c>
      <c r="BJ133">
        <v>0.780582524</v>
      </c>
      <c r="BK133">
        <v>8</v>
      </c>
      <c r="BL133"/>
      <c r="BM133"/>
      <c r="BN133"/>
      <c r="BO133"/>
      <c r="BP133"/>
      <c r="BQ133"/>
      <c r="BR133"/>
      <c r="BS133"/>
      <c r="BT133"/>
      <c r="BU133"/>
      <c r="BV133"/>
      <c r="BW133"/>
      <c r="BX133"/>
    </row>
    <row r="134" s="1" customFormat="1" ht="15" customHeight="1" spans="1:76">
      <c r="A134">
        <v>45</v>
      </c>
      <c r="B134">
        <v>138</v>
      </c>
      <c r="C134" t="s">
        <v>461</v>
      </c>
      <c r="D134" t="s">
        <v>462</v>
      </c>
      <c r="E134">
        <v>2023</v>
      </c>
      <c r="F134" t="s">
        <v>463</v>
      </c>
      <c r="G134" t="s">
        <v>464</v>
      </c>
      <c r="H134" t="s">
        <v>198</v>
      </c>
      <c r="I134" t="s">
        <v>110</v>
      </c>
      <c r="J134" t="s">
        <v>96</v>
      </c>
      <c r="K134" t="s">
        <v>9</v>
      </c>
      <c r="L134" t="s">
        <v>146</v>
      </c>
      <c r="M134" t="s">
        <v>147</v>
      </c>
      <c r="N134" t="s">
        <v>148</v>
      </c>
      <c r="O134" t="s">
        <v>112</v>
      </c>
      <c r="P134" t="s">
        <v>149</v>
      </c>
      <c r="Q134" t="s">
        <v>102</v>
      </c>
      <c r="R134" t="s">
        <v>103</v>
      </c>
      <c r="S134" t="s">
        <v>104</v>
      </c>
      <c r="T134">
        <v>1</v>
      </c>
      <c r="U134">
        <v>0.79</v>
      </c>
      <c r="V134">
        <v>2</v>
      </c>
      <c r="W134"/>
      <c r="X134">
        <v>0.1</v>
      </c>
      <c r="Y134">
        <v>0.022</v>
      </c>
      <c r="Z134"/>
      <c r="AA134"/>
      <c r="AB134" t="s">
        <v>105</v>
      </c>
      <c r="AC134" t="s">
        <v>105</v>
      </c>
      <c r="AD134"/>
      <c r="AE134"/>
      <c r="AF134">
        <v>32.1075</v>
      </c>
      <c r="AG134">
        <v>118.905278</v>
      </c>
      <c r="AH134" t="s">
        <v>465</v>
      </c>
      <c r="AI134">
        <v>65</v>
      </c>
      <c r="AJ134">
        <v>110</v>
      </c>
      <c r="AK134" t="s">
        <v>86</v>
      </c>
      <c r="AL134">
        <v>96</v>
      </c>
      <c r="AM134">
        <v>8</v>
      </c>
      <c r="AN134" t="s">
        <v>116</v>
      </c>
      <c r="AO134" t="s">
        <v>161</v>
      </c>
      <c r="AP134" t="s">
        <v>466</v>
      </c>
      <c r="AQ134" t="s">
        <v>89</v>
      </c>
      <c r="AR134" t="s">
        <v>89</v>
      </c>
      <c r="AS134" t="s">
        <v>82</v>
      </c>
      <c r="AT134" t="s">
        <v>90</v>
      </c>
      <c r="AU134" t="s">
        <v>119</v>
      </c>
      <c r="AV134" t="s">
        <v>175</v>
      </c>
      <c r="AW134" t="s">
        <v>91</v>
      </c>
      <c r="AX134" t="s">
        <v>92</v>
      </c>
      <c r="AY134" t="s">
        <v>163</v>
      </c>
      <c r="AZ134">
        <v>3.698924731</v>
      </c>
      <c r="BA134">
        <v>0.702508961</v>
      </c>
      <c r="BB134">
        <v>8</v>
      </c>
      <c r="BC134">
        <v>1.605734767</v>
      </c>
      <c r="BD134">
        <v>0.759856631</v>
      </c>
      <c r="BE134">
        <v>8</v>
      </c>
      <c r="BF134">
        <v>4.129032258</v>
      </c>
      <c r="BG134">
        <v>0.64516129</v>
      </c>
      <c r="BH134">
        <v>8</v>
      </c>
      <c r="BI134">
        <v>2.967741935</v>
      </c>
      <c r="BJ134">
        <v>0.53046595</v>
      </c>
      <c r="BK134">
        <v>8</v>
      </c>
      <c r="BL134"/>
      <c r="BM134"/>
      <c r="BN134"/>
      <c r="BO134"/>
      <c r="BP134"/>
      <c r="BQ134"/>
      <c r="BR134"/>
      <c r="BS134"/>
      <c r="BT134"/>
      <c r="BU134"/>
      <c r="BV134"/>
      <c r="BW134"/>
      <c r="BX134"/>
    </row>
    <row r="135" s="1" customFormat="1" ht="15" customHeight="1" spans="1:76">
      <c r="A135">
        <v>45</v>
      </c>
      <c r="B135">
        <v>139</v>
      </c>
      <c r="C135" t="s">
        <v>461</v>
      </c>
      <c r="D135" t="s">
        <v>462</v>
      </c>
      <c r="E135">
        <v>2023</v>
      </c>
      <c r="F135" t="s">
        <v>463</v>
      </c>
      <c r="G135" t="s">
        <v>464</v>
      </c>
      <c r="H135" t="s">
        <v>198</v>
      </c>
      <c r="I135" t="s">
        <v>110</v>
      </c>
      <c r="J135" t="s">
        <v>82</v>
      </c>
      <c r="K135" t="s">
        <v>467</v>
      </c>
      <c r="L135" t="s">
        <v>84</v>
      </c>
      <c r="M135" t="s">
        <v>84</v>
      </c>
      <c r="N135" t="s">
        <v>84</v>
      </c>
      <c r="O135" t="s">
        <v>84</v>
      </c>
      <c r="P135"/>
      <c r="Q135"/>
      <c r="R135"/>
      <c r="S135"/>
      <c r="T135">
        <v>1</v>
      </c>
      <c r="U135">
        <v>0.79</v>
      </c>
      <c r="V135">
        <v>2</v>
      </c>
      <c r="W135"/>
      <c r="X135">
        <v>0.1</v>
      </c>
      <c r="Y135">
        <v>0.022</v>
      </c>
      <c r="Z135"/>
      <c r="AA135"/>
      <c r="AB135" t="s">
        <v>105</v>
      </c>
      <c r="AC135" t="s">
        <v>105</v>
      </c>
      <c r="AD135"/>
      <c r="AE135"/>
      <c r="AF135">
        <v>32.1075</v>
      </c>
      <c r="AG135">
        <v>118.905278</v>
      </c>
      <c r="AH135" t="s">
        <v>465</v>
      </c>
      <c r="AI135">
        <v>65</v>
      </c>
      <c r="AJ135">
        <v>110</v>
      </c>
      <c r="AK135" t="s">
        <v>86</v>
      </c>
      <c r="AL135">
        <v>96</v>
      </c>
      <c r="AM135">
        <v>8</v>
      </c>
      <c r="AN135" t="s">
        <v>116</v>
      </c>
      <c r="AO135" t="s">
        <v>161</v>
      </c>
      <c r="AP135" t="s">
        <v>466</v>
      </c>
      <c r="AQ135" t="s">
        <v>89</v>
      </c>
      <c r="AR135" t="s">
        <v>89</v>
      </c>
      <c r="AS135" t="s">
        <v>82</v>
      </c>
      <c r="AT135" t="s">
        <v>90</v>
      </c>
      <c r="AU135" t="s">
        <v>91</v>
      </c>
      <c r="AV135" t="s">
        <v>92</v>
      </c>
      <c r="AW135" t="s">
        <v>119</v>
      </c>
      <c r="AX135" t="s">
        <v>175</v>
      </c>
      <c r="AY135" t="s">
        <v>163</v>
      </c>
      <c r="AZ135">
        <v>6.6837295483778</v>
      </c>
      <c r="BA135">
        <v>3.265105016333</v>
      </c>
      <c r="BB135">
        <v>8</v>
      </c>
      <c r="BC135">
        <v>6.54923230524298</v>
      </c>
      <c r="BD135">
        <v>1.91821012931179</v>
      </c>
      <c r="BE135">
        <v>8</v>
      </c>
      <c r="BF135">
        <f>AZ135+BC135</f>
        <v>13.2329618536208</v>
      </c>
      <c r="BG135">
        <f>(AZ140^2+BC140^2)^(1/2)</f>
        <v>2.54555133743598</v>
      </c>
      <c r="BH135">
        <v>8</v>
      </c>
      <c r="BI135">
        <f>BC135+BF135</f>
        <v>19.7821941588638</v>
      </c>
      <c r="BJ135" t="e">
        <f>(#REF!^2+#REF!^2)^(1/2)</f>
        <v>#REF!</v>
      </c>
      <c r="BK135">
        <v>8</v>
      </c>
      <c r="BL135"/>
      <c r="BM135"/>
      <c r="BN135"/>
      <c r="BO135"/>
      <c r="BP135"/>
      <c r="BQ135"/>
      <c r="BR135"/>
      <c r="BS135"/>
      <c r="BT135"/>
      <c r="BU135"/>
      <c r="BV135"/>
      <c r="BW135"/>
      <c r="BX135"/>
    </row>
    <row r="136" s="1" customFormat="1" ht="15" customHeight="1" spans="1:76">
      <c r="A136">
        <v>45</v>
      </c>
      <c r="B136">
        <v>140</v>
      </c>
      <c r="C136" t="s">
        <v>461</v>
      </c>
      <c r="D136" t="s">
        <v>462</v>
      </c>
      <c r="E136">
        <v>2023</v>
      </c>
      <c r="F136" t="s">
        <v>463</v>
      </c>
      <c r="G136" t="s">
        <v>464</v>
      </c>
      <c r="H136" t="s">
        <v>198</v>
      </c>
      <c r="I136" t="s">
        <v>110</v>
      </c>
      <c r="J136" t="s">
        <v>96</v>
      </c>
      <c r="K136" t="s">
        <v>9</v>
      </c>
      <c r="L136" t="s">
        <v>146</v>
      </c>
      <c r="M136" t="s">
        <v>147</v>
      </c>
      <c r="N136" t="s">
        <v>148</v>
      </c>
      <c r="O136" t="s">
        <v>112</v>
      </c>
      <c r="P136" t="s">
        <v>149</v>
      </c>
      <c r="Q136" t="s">
        <v>102</v>
      </c>
      <c r="R136" t="s">
        <v>103</v>
      </c>
      <c r="S136" t="s">
        <v>104</v>
      </c>
      <c r="T136">
        <v>1</v>
      </c>
      <c r="U136">
        <v>0.79</v>
      </c>
      <c r="V136">
        <v>2</v>
      </c>
      <c r="W136"/>
      <c r="X136">
        <v>0.1</v>
      </c>
      <c r="Y136">
        <v>0.022</v>
      </c>
      <c r="Z136"/>
      <c r="AA136"/>
      <c r="AB136" t="s">
        <v>105</v>
      </c>
      <c r="AC136" t="s">
        <v>105</v>
      </c>
      <c r="AD136"/>
      <c r="AE136"/>
      <c r="AF136">
        <v>32.1075</v>
      </c>
      <c r="AG136">
        <v>118.905278</v>
      </c>
      <c r="AH136" t="s">
        <v>465</v>
      </c>
      <c r="AI136">
        <v>65</v>
      </c>
      <c r="AJ136">
        <v>110</v>
      </c>
      <c r="AK136" t="s">
        <v>86</v>
      </c>
      <c r="AL136">
        <v>96</v>
      </c>
      <c r="AM136">
        <v>8</v>
      </c>
      <c r="AN136" t="s">
        <v>116</v>
      </c>
      <c r="AO136" t="s">
        <v>161</v>
      </c>
      <c r="AP136" t="s">
        <v>466</v>
      </c>
      <c r="AQ136" t="s">
        <v>89</v>
      </c>
      <c r="AR136" t="s">
        <v>89</v>
      </c>
      <c r="AS136" t="s">
        <v>82</v>
      </c>
      <c r="AT136" t="s">
        <v>90</v>
      </c>
      <c r="AU136" t="s">
        <v>91</v>
      </c>
      <c r="AV136" t="s">
        <v>92</v>
      </c>
      <c r="AW136" t="s">
        <v>119</v>
      </c>
      <c r="AX136" t="s">
        <v>175</v>
      </c>
      <c r="AY136" t="s">
        <v>163</v>
      </c>
      <c r="AZ136">
        <v>7.09267648842435</v>
      </c>
      <c r="BA136">
        <v>2.78487418958327</v>
      </c>
      <c r="BB136">
        <v>8</v>
      </c>
      <c r="BC136">
        <v>6.21553169478828</v>
      </c>
      <c r="BD136">
        <v>2.0069287267897</v>
      </c>
      <c r="BE136">
        <v>8</v>
      </c>
      <c r="BF136">
        <v>6.13466271893839</v>
      </c>
      <c r="BG136">
        <v>2.67419249034081</v>
      </c>
      <c r="BH136">
        <v>8</v>
      </c>
      <c r="BI136">
        <v>4.07712339029001</v>
      </c>
      <c r="BJ136">
        <v>1.40778261583571</v>
      </c>
      <c r="BK136">
        <v>8</v>
      </c>
      <c r="BL136"/>
      <c r="BM136"/>
      <c r="BN136"/>
      <c r="BO136"/>
      <c r="BP136"/>
      <c r="BQ136"/>
      <c r="BR136"/>
      <c r="BS136"/>
      <c r="BT136"/>
      <c r="BU136"/>
      <c r="BV136"/>
      <c r="BW136"/>
      <c r="BX136"/>
    </row>
    <row r="137" s="1" customFormat="1" ht="15" customHeight="1" spans="1:76">
      <c r="A137">
        <v>46</v>
      </c>
      <c r="B137">
        <v>141</v>
      </c>
      <c r="C137" t="s">
        <v>468</v>
      </c>
      <c r="D137" t="s">
        <v>469</v>
      </c>
      <c r="E137">
        <v>2019</v>
      </c>
      <c r="F137"/>
      <c r="G137" t="s">
        <v>470</v>
      </c>
      <c r="H137" t="s">
        <v>198</v>
      </c>
      <c r="I137" t="s">
        <v>471</v>
      </c>
      <c r="J137" t="s">
        <v>96</v>
      </c>
      <c r="K137" t="s">
        <v>9</v>
      </c>
      <c r="L137" t="s">
        <v>126</v>
      </c>
      <c r="M137" t="s">
        <v>242</v>
      </c>
      <c r="N137" t="s">
        <v>243</v>
      </c>
      <c r="O137" t="s">
        <v>100</v>
      </c>
      <c r="P137" t="s">
        <v>149</v>
      </c>
      <c r="Q137" t="s">
        <v>102</v>
      </c>
      <c r="R137" t="s">
        <v>103</v>
      </c>
      <c r="S137" t="s">
        <v>104</v>
      </c>
      <c r="T137">
        <v>0.05</v>
      </c>
      <c r="U137"/>
      <c r="V137">
        <f>5-0.05</f>
        <v>4.95</v>
      </c>
      <c r="W137"/>
      <c r="X137"/>
      <c r="Y137"/>
      <c r="Z137">
        <v>23</v>
      </c>
      <c r="AA137"/>
      <c r="AB137" t="s">
        <v>105</v>
      </c>
      <c r="AC137" t="s">
        <v>105</v>
      </c>
      <c r="AD137"/>
      <c r="AE137"/>
      <c r="AF137"/>
      <c r="AG137"/>
      <c r="AH137" t="s">
        <v>407</v>
      </c>
      <c r="AI137">
        <v>12</v>
      </c>
      <c r="AJ137">
        <v>2</v>
      </c>
      <c r="AK137" t="s">
        <v>86</v>
      </c>
      <c r="AL137">
        <v>100</v>
      </c>
      <c r="AM137">
        <v>4</v>
      </c>
      <c r="AN137"/>
      <c r="AO137"/>
      <c r="AP137"/>
      <c r="AQ137" t="s">
        <v>185</v>
      </c>
      <c r="AR137" t="s">
        <v>186</v>
      </c>
      <c r="AS137" t="s">
        <v>82</v>
      </c>
      <c r="AT137" t="s">
        <v>359</v>
      </c>
      <c r="AU137" t="s">
        <v>91</v>
      </c>
      <c r="AV137" t="s">
        <v>255</v>
      </c>
      <c r="AW137" t="s">
        <v>119</v>
      </c>
      <c r="AX137" t="s">
        <v>344</v>
      </c>
      <c r="AY137" t="s">
        <v>163</v>
      </c>
      <c r="AZ137">
        <v>-0.025495868</v>
      </c>
      <c r="BA137">
        <v>0.003533058</v>
      </c>
      <c r="BB137">
        <v>4</v>
      </c>
      <c r="BC137">
        <v>-0.030516529</v>
      </c>
      <c r="BD137">
        <v>0.00892562</v>
      </c>
      <c r="BE137">
        <v>4</v>
      </c>
      <c r="BF137">
        <v>0.074545455</v>
      </c>
      <c r="BG137">
        <v>0.003533058</v>
      </c>
      <c r="BH137">
        <v>4</v>
      </c>
      <c r="BI137">
        <v>0.13535124</v>
      </c>
      <c r="BJ137">
        <v>0.007252066</v>
      </c>
      <c r="BK137">
        <v>4</v>
      </c>
      <c r="BL137"/>
      <c r="BM137"/>
      <c r="BN137"/>
      <c r="BO137"/>
      <c r="BP137"/>
      <c r="BQ137"/>
      <c r="BR137"/>
      <c r="BS137"/>
      <c r="BT137"/>
      <c r="BU137"/>
      <c r="BV137"/>
      <c r="BW137"/>
      <c r="BX137"/>
    </row>
    <row r="138" s="1" customFormat="1" ht="15" customHeight="1" spans="1:76">
      <c r="A138">
        <v>46</v>
      </c>
      <c r="B138">
        <v>142</v>
      </c>
      <c r="C138" t="s">
        <v>468</v>
      </c>
      <c r="D138" t="s">
        <v>469</v>
      </c>
      <c r="E138">
        <v>2019</v>
      </c>
      <c r="F138"/>
      <c r="G138" t="s">
        <v>470</v>
      </c>
      <c r="H138" t="s">
        <v>198</v>
      </c>
      <c r="I138" t="s">
        <v>471</v>
      </c>
      <c r="J138" t="s">
        <v>96</v>
      </c>
      <c r="K138" t="s">
        <v>9</v>
      </c>
      <c r="L138" t="s">
        <v>126</v>
      </c>
      <c r="M138" t="s">
        <v>242</v>
      </c>
      <c r="N138" t="s">
        <v>300</v>
      </c>
      <c r="O138" t="s">
        <v>100</v>
      </c>
      <c r="P138" t="s">
        <v>149</v>
      </c>
      <c r="Q138" t="s">
        <v>102</v>
      </c>
      <c r="R138" t="s">
        <v>103</v>
      </c>
      <c r="S138" t="s">
        <v>104</v>
      </c>
      <c r="T138">
        <v>0.05</v>
      </c>
      <c r="U138"/>
      <c r="V138">
        <f>5-0.05</f>
        <v>4.95</v>
      </c>
      <c r="W138"/>
      <c r="X138"/>
      <c r="Y138"/>
      <c r="Z138">
        <v>23</v>
      </c>
      <c r="AA138"/>
      <c r="AB138" t="s">
        <v>105</v>
      </c>
      <c r="AC138" t="s">
        <v>105</v>
      </c>
      <c r="AD138"/>
      <c r="AE138"/>
      <c r="AF138"/>
      <c r="AG138"/>
      <c r="AH138" t="s">
        <v>407</v>
      </c>
      <c r="AI138">
        <v>12</v>
      </c>
      <c r="AJ138">
        <v>2</v>
      </c>
      <c r="AK138" t="s">
        <v>86</v>
      </c>
      <c r="AL138">
        <v>100</v>
      </c>
      <c r="AM138">
        <v>4</v>
      </c>
      <c r="AN138"/>
      <c r="AO138"/>
      <c r="AP138"/>
      <c r="AQ138" t="s">
        <v>185</v>
      </c>
      <c r="AR138" t="s">
        <v>186</v>
      </c>
      <c r="AS138" t="s">
        <v>82</v>
      </c>
      <c r="AT138" t="s">
        <v>359</v>
      </c>
      <c r="AU138" t="s">
        <v>91</v>
      </c>
      <c r="AV138" t="s">
        <v>255</v>
      </c>
      <c r="AW138" t="s">
        <v>119</v>
      </c>
      <c r="AX138" t="s">
        <v>344</v>
      </c>
      <c r="AY138" t="s">
        <v>163</v>
      </c>
      <c r="AZ138">
        <v>-0.015505155</v>
      </c>
      <c r="BA138">
        <v>0.005938144</v>
      </c>
      <c r="BB138">
        <v>4</v>
      </c>
      <c r="BC138">
        <v>-0.00956701</v>
      </c>
      <c r="BD138">
        <v>0.007051546</v>
      </c>
      <c r="BE138">
        <v>4</v>
      </c>
      <c r="BF138">
        <v>0.058907216</v>
      </c>
      <c r="BG138">
        <v>0.00556701</v>
      </c>
      <c r="BH138">
        <v>4</v>
      </c>
      <c r="BI138">
        <v>0.098247423</v>
      </c>
      <c r="BJ138">
        <v>0.006123711</v>
      </c>
      <c r="BK138">
        <v>4</v>
      </c>
      <c r="BL138"/>
      <c r="BM138"/>
      <c r="BN138"/>
      <c r="BO138"/>
      <c r="BP138"/>
      <c r="BQ138"/>
      <c r="BR138"/>
      <c r="BS138"/>
      <c r="BT138"/>
      <c r="BU138"/>
      <c r="BV138"/>
      <c r="BW138"/>
      <c r="BX138"/>
    </row>
    <row r="139" s="1" customFormat="1" ht="15" customHeight="1" spans="1:76">
      <c r="A139">
        <v>47</v>
      </c>
      <c r="B139">
        <v>146</v>
      </c>
      <c r="C139" t="s">
        <v>472</v>
      </c>
      <c r="D139" t="s">
        <v>473</v>
      </c>
      <c r="E139">
        <v>2017</v>
      </c>
      <c r="F139" t="s">
        <v>474</v>
      </c>
      <c r="G139" t="s">
        <v>125</v>
      </c>
      <c r="H139" t="s">
        <v>198</v>
      </c>
      <c r="I139" t="s">
        <v>110</v>
      </c>
      <c r="J139" t="s">
        <v>96</v>
      </c>
      <c r="K139" t="s">
        <v>9</v>
      </c>
      <c r="L139" t="s">
        <v>126</v>
      </c>
      <c r="M139" t="s">
        <v>127</v>
      </c>
      <c r="N139" t="s">
        <v>128</v>
      </c>
      <c r="O139" t="s">
        <v>112</v>
      </c>
      <c r="P139" t="s">
        <v>101</v>
      </c>
      <c r="Q139" t="s">
        <v>102</v>
      </c>
      <c r="R139" t="s">
        <v>129</v>
      </c>
      <c r="S139" t="s">
        <v>104</v>
      </c>
      <c r="T139">
        <v>0.49</v>
      </c>
      <c r="U139"/>
      <c r="V139">
        <f>2.5-0.49</f>
        <v>2.01</v>
      </c>
      <c r="W139"/>
      <c r="X139">
        <v>0.02</v>
      </c>
      <c r="Y139"/>
      <c r="Z139"/>
      <c r="AA139"/>
      <c r="AB139" t="s">
        <v>105</v>
      </c>
      <c r="AC139" t="s">
        <v>105</v>
      </c>
      <c r="AD139">
        <v>7.87</v>
      </c>
      <c r="AE139"/>
      <c r="AF139">
        <v>30.083333</v>
      </c>
      <c r="AG139">
        <v>114.366667</v>
      </c>
      <c r="AH139" t="s">
        <v>475</v>
      </c>
      <c r="AI139">
        <v>68</v>
      </c>
      <c r="AJ139">
        <v>170</v>
      </c>
      <c r="AK139" t="s">
        <v>86</v>
      </c>
      <c r="AL139">
        <v>20</v>
      </c>
      <c r="AM139">
        <v>5</v>
      </c>
      <c r="AN139" t="s">
        <v>161</v>
      </c>
      <c r="AO139" t="s">
        <v>270</v>
      </c>
      <c r="AP139" t="s">
        <v>220</v>
      </c>
      <c r="AQ139" t="s">
        <v>89</v>
      </c>
      <c r="AR139" t="s">
        <v>89</v>
      </c>
      <c r="AS139" t="s">
        <v>96</v>
      </c>
      <c r="AT139" t="s">
        <v>90</v>
      </c>
      <c r="AU139" t="s">
        <v>91</v>
      </c>
      <c r="AV139" t="s">
        <v>92</v>
      </c>
      <c r="AW139" t="s">
        <v>119</v>
      </c>
      <c r="AX139" t="s">
        <v>476</v>
      </c>
      <c r="AY139" t="s">
        <v>163</v>
      </c>
      <c r="AZ139">
        <v>3.573085846</v>
      </c>
      <c r="BA139">
        <v>0.20752371</v>
      </c>
      <c r="BB139">
        <v>5</v>
      </c>
      <c r="BC139">
        <v>4.245939675</v>
      </c>
      <c r="BD139">
        <v>0.466928348</v>
      </c>
      <c r="BE139">
        <v>5</v>
      </c>
      <c r="BF139">
        <v>5.336426914</v>
      </c>
      <c r="BG139">
        <v>0.518809276</v>
      </c>
      <c r="BH139">
        <v>5</v>
      </c>
      <c r="BI139">
        <v>5.846867749</v>
      </c>
      <c r="BJ139">
        <v>0.622571131</v>
      </c>
      <c r="BK139">
        <v>5</v>
      </c>
      <c r="BL139"/>
      <c r="BM139"/>
      <c r="BN139"/>
      <c r="BO139"/>
      <c r="BP139"/>
      <c r="BQ139"/>
      <c r="BR139"/>
      <c r="BS139"/>
      <c r="BT139"/>
      <c r="BU139"/>
      <c r="BV139"/>
      <c r="BW139"/>
      <c r="BX139"/>
    </row>
    <row r="140" s="1" customFormat="1" ht="15" customHeight="1" spans="1:76">
      <c r="A140">
        <v>47</v>
      </c>
      <c r="B140">
        <v>147</v>
      </c>
      <c r="C140" t="s">
        <v>472</v>
      </c>
      <c r="D140" t="s">
        <v>473</v>
      </c>
      <c r="E140">
        <v>2017</v>
      </c>
      <c r="F140" t="s">
        <v>474</v>
      </c>
      <c r="G140" t="s">
        <v>125</v>
      </c>
      <c r="H140" t="s">
        <v>198</v>
      </c>
      <c r="I140" t="s">
        <v>110</v>
      </c>
      <c r="J140" t="s">
        <v>96</v>
      </c>
      <c r="K140" t="s">
        <v>9</v>
      </c>
      <c r="L140" t="s">
        <v>126</v>
      </c>
      <c r="M140" t="s">
        <v>242</v>
      </c>
      <c r="N140" t="s">
        <v>300</v>
      </c>
      <c r="O140" t="s">
        <v>100</v>
      </c>
      <c r="P140" t="s">
        <v>149</v>
      </c>
      <c r="Q140" t="s">
        <v>102</v>
      </c>
      <c r="R140" t="s">
        <v>103</v>
      </c>
      <c r="S140" t="s">
        <v>104</v>
      </c>
      <c r="T140">
        <v>0.49</v>
      </c>
      <c r="U140"/>
      <c r="V140">
        <f>2.5-0.49</f>
        <v>2.01</v>
      </c>
      <c r="W140"/>
      <c r="X140">
        <v>0.02</v>
      </c>
      <c r="Y140"/>
      <c r="Z140"/>
      <c r="AA140"/>
      <c r="AB140" t="s">
        <v>105</v>
      </c>
      <c r="AC140" t="s">
        <v>105</v>
      </c>
      <c r="AD140">
        <v>7.87</v>
      </c>
      <c r="AE140"/>
      <c r="AF140">
        <v>30.083333</v>
      </c>
      <c r="AG140">
        <v>114.366667</v>
      </c>
      <c r="AH140" t="s">
        <v>475</v>
      </c>
      <c r="AI140">
        <v>68</v>
      </c>
      <c r="AJ140">
        <v>170</v>
      </c>
      <c r="AK140" t="s">
        <v>86</v>
      </c>
      <c r="AL140">
        <v>20</v>
      </c>
      <c r="AM140">
        <v>5</v>
      </c>
      <c r="AN140" t="s">
        <v>161</v>
      </c>
      <c r="AO140" t="s">
        <v>270</v>
      </c>
      <c r="AP140" t="s">
        <v>220</v>
      </c>
      <c r="AQ140" t="s">
        <v>89</v>
      </c>
      <c r="AR140" t="s">
        <v>89</v>
      </c>
      <c r="AS140" t="s">
        <v>96</v>
      </c>
      <c r="AT140" t="s">
        <v>90</v>
      </c>
      <c r="AU140" t="s">
        <v>91</v>
      </c>
      <c r="AV140" t="s">
        <v>92</v>
      </c>
      <c r="AW140" t="s">
        <v>119</v>
      </c>
      <c r="AX140" t="s">
        <v>476</v>
      </c>
      <c r="AY140" t="s">
        <v>163</v>
      </c>
      <c r="AZ140">
        <v>1.879350348</v>
      </c>
      <c r="BA140">
        <v>0.311285565</v>
      </c>
      <c r="BB140">
        <v>5</v>
      </c>
      <c r="BC140">
        <v>1.716937355</v>
      </c>
      <c r="BD140">
        <v>0.570690203</v>
      </c>
      <c r="BE140">
        <v>5</v>
      </c>
      <c r="BF140">
        <v>3.109048724</v>
      </c>
      <c r="BG140">
        <v>0.466928348</v>
      </c>
      <c r="BH140">
        <v>5</v>
      </c>
      <c r="BI140">
        <v>3.016241299</v>
      </c>
      <c r="BJ140">
        <v>0.518809276</v>
      </c>
      <c r="BK140">
        <v>5</v>
      </c>
      <c r="BL140"/>
      <c r="BM140"/>
      <c r="BN140"/>
      <c r="BO140"/>
      <c r="BP140"/>
      <c r="BQ140"/>
      <c r="BR140"/>
      <c r="BS140"/>
      <c r="BT140"/>
      <c r="BU140"/>
      <c r="BV140"/>
      <c r="BW140"/>
      <c r="BX140"/>
    </row>
    <row r="141" s="1" customFormat="1" ht="15" customHeight="1" spans="1:76">
      <c r="A141">
        <v>49</v>
      </c>
      <c r="B141">
        <v>148</v>
      </c>
      <c r="C141" t="s">
        <v>477</v>
      </c>
      <c r="D141" t="s">
        <v>478</v>
      </c>
      <c r="E141">
        <v>2022</v>
      </c>
      <c r="F141" t="s">
        <v>215</v>
      </c>
      <c r="G141" t="s">
        <v>479</v>
      </c>
      <c r="H141" t="s">
        <v>80</v>
      </c>
      <c r="I141" t="s">
        <v>110</v>
      </c>
      <c r="J141" t="s">
        <v>82</v>
      </c>
      <c r="K141" t="s">
        <v>480</v>
      </c>
      <c r="L141" t="s">
        <v>84</v>
      </c>
      <c r="M141" t="s">
        <v>84</v>
      </c>
      <c r="N141" t="s">
        <v>84</v>
      </c>
      <c r="O141" t="s">
        <v>84</v>
      </c>
      <c r="P141"/>
      <c r="Q141"/>
      <c r="R141"/>
      <c r="S141"/>
      <c r="T141">
        <v>0.33</v>
      </c>
      <c r="U141">
        <v>5.5</v>
      </c>
      <c r="V141">
        <v>0.66</v>
      </c>
      <c r="W141"/>
      <c r="X141"/>
      <c r="Y141">
        <v>0.42</v>
      </c>
      <c r="Z141">
        <v>23</v>
      </c>
      <c r="AA141">
        <v>2.8</v>
      </c>
      <c r="AB141" t="s">
        <v>170</v>
      </c>
      <c r="AC141" t="s">
        <v>170</v>
      </c>
      <c r="AD141"/>
      <c r="AE141">
        <v>0.6</v>
      </c>
      <c r="AF141">
        <v>30.470833</v>
      </c>
      <c r="AG141">
        <v>114.371389</v>
      </c>
      <c r="AH141" t="s">
        <v>481</v>
      </c>
      <c r="AI141">
        <v>119</v>
      </c>
      <c r="AJ141">
        <v>2500</v>
      </c>
      <c r="AK141" t="s">
        <v>86</v>
      </c>
      <c r="AL141">
        <v>48</v>
      </c>
      <c r="AM141">
        <v>4</v>
      </c>
      <c r="AN141" t="s">
        <v>270</v>
      </c>
      <c r="AO141" t="s">
        <v>439</v>
      </c>
      <c r="AP141" t="s">
        <v>466</v>
      </c>
      <c r="AQ141" t="s">
        <v>89</v>
      </c>
      <c r="AR141" t="s">
        <v>89</v>
      </c>
      <c r="AS141" t="s">
        <v>96</v>
      </c>
      <c r="AT141" t="s">
        <v>90</v>
      </c>
      <c r="AU141" t="s">
        <v>221</v>
      </c>
      <c r="AV141" t="s">
        <v>482</v>
      </c>
      <c r="AW141" t="s">
        <v>230</v>
      </c>
      <c r="AX141" t="s">
        <v>483</v>
      </c>
      <c r="AY141" t="s">
        <v>410</v>
      </c>
      <c r="AZ141">
        <v>3663.920923</v>
      </c>
      <c r="BA141">
        <v>355.8902801</v>
      </c>
      <c r="BB141">
        <v>4</v>
      </c>
      <c r="BC141">
        <v>3505.766063</v>
      </c>
      <c r="BD141">
        <v>289.9505766</v>
      </c>
      <c r="BE141">
        <v>4</v>
      </c>
      <c r="BF141">
        <v>2886.326194</v>
      </c>
      <c r="BG141">
        <v>303.1301483</v>
      </c>
      <c r="BH141">
        <v>4</v>
      </c>
      <c r="BI141">
        <v>1700.164745</v>
      </c>
      <c r="BJ141">
        <v>408.5667216</v>
      </c>
      <c r="BK141">
        <v>4</v>
      </c>
      <c r="BL141"/>
      <c r="BM141"/>
      <c r="BN141"/>
      <c r="BO141"/>
      <c r="BP141"/>
      <c r="BQ141"/>
      <c r="BR141"/>
      <c r="BS141"/>
      <c r="BT141"/>
      <c r="BU141"/>
      <c r="BV141"/>
      <c r="BW141"/>
      <c r="BX141"/>
    </row>
    <row r="142" s="1" customFormat="1" ht="15" customHeight="1" spans="1:76">
      <c r="A142">
        <v>48</v>
      </c>
      <c r="B142">
        <v>149</v>
      </c>
      <c r="C142" t="s">
        <v>484</v>
      </c>
      <c r="D142" t="s">
        <v>485</v>
      </c>
      <c r="E142">
        <v>2020</v>
      </c>
      <c r="F142" t="s">
        <v>486</v>
      </c>
      <c r="G142" t="s">
        <v>487</v>
      </c>
      <c r="H142" t="s">
        <v>198</v>
      </c>
      <c r="I142" t="s">
        <v>110</v>
      </c>
      <c r="J142" t="s">
        <v>96</v>
      </c>
      <c r="K142" t="s">
        <v>9</v>
      </c>
      <c r="L142" t="s">
        <v>146</v>
      </c>
      <c r="M142" t="s">
        <v>147</v>
      </c>
      <c r="N142" t="s">
        <v>488</v>
      </c>
      <c r="O142" t="s">
        <v>112</v>
      </c>
      <c r="P142" t="s">
        <v>149</v>
      </c>
      <c r="Q142" t="s">
        <v>102</v>
      </c>
      <c r="R142" t="s">
        <v>103</v>
      </c>
      <c r="S142" t="s">
        <v>104</v>
      </c>
      <c r="T142">
        <v>1</v>
      </c>
      <c r="U142"/>
      <c r="V142"/>
      <c r="W142"/>
      <c r="X142">
        <v>0.05</v>
      </c>
      <c r="Y142"/>
      <c r="Z142"/>
      <c r="AA142"/>
      <c r="AB142" t="s">
        <v>105</v>
      </c>
      <c r="AC142" t="s">
        <v>105</v>
      </c>
      <c r="AD142"/>
      <c r="AE142"/>
      <c r="AF142">
        <v>24.383333</v>
      </c>
      <c r="AG142">
        <v>102.166667</v>
      </c>
      <c r="AH142" t="s">
        <v>489</v>
      </c>
      <c r="AI142">
        <v>82</v>
      </c>
      <c r="AJ142">
        <v>220</v>
      </c>
      <c r="AK142" t="s">
        <v>86</v>
      </c>
      <c r="AL142">
        <v>50</v>
      </c>
      <c r="AM142">
        <v>5</v>
      </c>
      <c r="AN142" t="s">
        <v>270</v>
      </c>
      <c r="AO142" t="s">
        <v>87</v>
      </c>
      <c r="AP142" t="s">
        <v>220</v>
      </c>
      <c r="AQ142" t="s">
        <v>89</v>
      </c>
      <c r="AR142" t="s">
        <v>89</v>
      </c>
      <c r="AS142" t="s">
        <v>96</v>
      </c>
      <c r="AT142" t="s">
        <v>90</v>
      </c>
      <c r="AU142" t="s">
        <v>91</v>
      </c>
      <c r="AV142" t="s">
        <v>287</v>
      </c>
      <c r="AW142" t="s">
        <v>93</v>
      </c>
      <c r="AX142" t="s">
        <v>121</v>
      </c>
      <c r="AY142" t="s">
        <v>95</v>
      </c>
      <c r="AZ142">
        <v>0.196911197</v>
      </c>
      <c r="BA142">
        <v>0.054390843</v>
      </c>
      <c r="BB142">
        <v>5</v>
      </c>
      <c r="BC142">
        <v>0.136679537</v>
      </c>
      <c r="BD142">
        <v>0.093241445</v>
      </c>
      <c r="BE142">
        <v>5</v>
      </c>
      <c r="BF142">
        <v>0.172586873</v>
      </c>
      <c r="BG142">
        <v>0.246053812</v>
      </c>
      <c r="BH142">
        <v>5</v>
      </c>
      <c r="BI142">
        <v>0.046332046</v>
      </c>
      <c r="BJ142">
        <v>0.028490441</v>
      </c>
      <c r="BK142">
        <v>5</v>
      </c>
      <c r="BL142"/>
      <c r="BM142"/>
      <c r="BN142"/>
      <c r="BO142"/>
      <c r="BP142"/>
      <c r="BQ142"/>
      <c r="BR142"/>
      <c r="BS142"/>
      <c r="BT142"/>
      <c r="BU142"/>
      <c r="BV142"/>
      <c r="BW142"/>
      <c r="BX142"/>
    </row>
    <row r="143" s="1" customFormat="1" ht="15" customHeight="1" spans="1:76">
      <c r="A143">
        <v>48</v>
      </c>
      <c r="B143">
        <v>150</v>
      </c>
      <c r="C143" t="s">
        <v>484</v>
      </c>
      <c r="D143" t="s">
        <v>485</v>
      </c>
      <c r="E143">
        <v>2020</v>
      </c>
      <c r="F143" t="s">
        <v>486</v>
      </c>
      <c r="G143" t="s">
        <v>487</v>
      </c>
      <c r="H143" t="s">
        <v>198</v>
      </c>
      <c r="I143" t="s">
        <v>110</v>
      </c>
      <c r="J143" t="s">
        <v>96</v>
      </c>
      <c r="K143" t="s">
        <v>9</v>
      </c>
      <c r="L143" t="s">
        <v>97</v>
      </c>
      <c r="M143" t="s">
        <v>98</v>
      </c>
      <c r="N143" t="s">
        <v>99</v>
      </c>
      <c r="O143" t="s">
        <v>112</v>
      </c>
      <c r="P143" t="s">
        <v>101</v>
      </c>
      <c r="Q143" t="s">
        <v>102</v>
      </c>
      <c r="R143" t="s">
        <v>103</v>
      </c>
      <c r="S143" t="s">
        <v>104</v>
      </c>
      <c r="T143">
        <v>1</v>
      </c>
      <c r="U143"/>
      <c r="V143">
        <v>0.05</v>
      </c>
      <c r="W143"/>
      <c r="X143">
        <v>0.05</v>
      </c>
      <c r="Y143"/>
      <c r="Z143"/>
      <c r="AA143"/>
      <c r="AB143" t="s">
        <v>105</v>
      </c>
      <c r="AC143" t="s">
        <v>105</v>
      </c>
      <c r="AD143"/>
      <c r="AE143">
        <v>0.6</v>
      </c>
      <c r="AF143">
        <v>24.383333</v>
      </c>
      <c r="AG143">
        <v>102.166667</v>
      </c>
      <c r="AH143" t="s">
        <v>489</v>
      </c>
      <c r="AI143">
        <v>82</v>
      </c>
      <c r="AJ143">
        <v>220</v>
      </c>
      <c r="AK143" t="s">
        <v>86</v>
      </c>
      <c r="AL143">
        <v>50</v>
      </c>
      <c r="AM143">
        <v>5</v>
      </c>
      <c r="AN143" t="s">
        <v>270</v>
      </c>
      <c r="AO143" t="s">
        <v>87</v>
      </c>
      <c r="AP143" t="s">
        <v>220</v>
      </c>
      <c r="AQ143" t="s">
        <v>89</v>
      </c>
      <c r="AR143" t="s">
        <v>89</v>
      </c>
      <c r="AS143" t="s">
        <v>96</v>
      </c>
      <c r="AT143" t="s">
        <v>90</v>
      </c>
      <c r="AU143" t="s">
        <v>91</v>
      </c>
      <c r="AV143" t="s">
        <v>287</v>
      </c>
      <c r="AW143" t="s">
        <v>93</v>
      </c>
      <c r="AX143" t="s">
        <v>121</v>
      </c>
      <c r="AY143" t="s">
        <v>95</v>
      </c>
      <c r="AZ143">
        <v>0.904035874</v>
      </c>
      <c r="BA143">
        <v>0.324881625</v>
      </c>
      <c r="BB143">
        <v>5</v>
      </c>
      <c r="BC143">
        <v>0.454708</v>
      </c>
      <c r="BD143">
        <v>0.186505958</v>
      </c>
      <c r="BE143">
        <v>5</v>
      </c>
      <c r="BF143">
        <v>1.097757848</v>
      </c>
      <c r="BG143">
        <v>0.409110195</v>
      </c>
      <c r="BH143">
        <v>5</v>
      </c>
      <c r="BI143">
        <v>0.403587444</v>
      </c>
      <c r="BJ143">
        <v>0.180489792</v>
      </c>
      <c r="BK143">
        <v>5</v>
      </c>
      <c r="BL143"/>
      <c r="BM143"/>
      <c r="BN143"/>
      <c r="BO143"/>
      <c r="BP143"/>
      <c r="BQ143"/>
      <c r="BR143"/>
      <c r="BS143"/>
      <c r="BT143"/>
      <c r="BU143"/>
      <c r="BV143"/>
      <c r="BW143"/>
      <c r="BX143"/>
    </row>
    <row r="144" s="1" customFormat="1" ht="15" customHeight="1" spans="1:76">
      <c r="A144">
        <v>48</v>
      </c>
      <c r="B144">
        <v>151</v>
      </c>
      <c r="C144" t="s">
        <v>484</v>
      </c>
      <c r="D144" t="s">
        <v>485</v>
      </c>
      <c r="E144">
        <v>2020</v>
      </c>
      <c r="F144" t="s">
        <v>486</v>
      </c>
      <c r="G144" t="s">
        <v>487</v>
      </c>
      <c r="H144" t="s">
        <v>198</v>
      </c>
      <c r="I144" t="s">
        <v>110</v>
      </c>
      <c r="J144" t="s">
        <v>96</v>
      </c>
      <c r="K144" t="s">
        <v>9</v>
      </c>
      <c r="L144" t="s">
        <v>126</v>
      </c>
      <c r="M144" t="s">
        <v>168</v>
      </c>
      <c r="N144" t="s">
        <v>268</v>
      </c>
      <c r="O144" t="s">
        <v>112</v>
      </c>
      <c r="P144" t="s">
        <v>149</v>
      </c>
      <c r="Q144" t="s">
        <v>210</v>
      </c>
      <c r="R144" t="s">
        <v>103</v>
      </c>
      <c r="S144" t="s">
        <v>104</v>
      </c>
      <c r="T144">
        <v>1</v>
      </c>
      <c r="U144"/>
      <c r="V144">
        <v>0.05</v>
      </c>
      <c r="W144"/>
      <c r="X144">
        <v>0.05</v>
      </c>
      <c r="Y144"/>
      <c r="Z144"/>
      <c r="AA144"/>
      <c r="AB144" t="s">
        <v>105</v>
      </c>
      <c r="AC144" t="s">
        <v>105</v>
      </c>
      <c r="AD144"/>
      <c r="AE144"/>
      <c r="AF144">
        <v>24.383333</v>
      </c>
      <c r="AG144">
        <v>102.166667</v>
      </c>
      <c r="AH144" t="s">
        <v>489</v>
      </c>
      <c r="AI144">
        <v>82</v>
      </c>
      <c r="AJ144">
        <v>220</v>
      </c>
      <c r="AK144" t="s">
        <v>86</v>
      </c>
      <c r="AL144">
        <v>50</v>
      </c>
      <c r="AM144">
        <v>5</v>
      </c>
      <c r="AN144" t="s">
        <v>270</v>
      </c>
      <c r="AO144" t="s">
        <v>87</v>
      </c>
      <c r="AP144" t="s">
        <v>220</v>
      </c>
      <c r="AQ144" t="s">
        <v>89</v>
      </c>
      <c r="AR144" t="s">
        <v>89</v>
      </c>
      <c r="AS144" t="s">
        <v>96</v>
      </c>
      <c r="AT144" t="s">
        <v>90</v>
      </c>
      <c r="AU144" t="s">
        <v>91</v>
      </c>
      <c r="AV144" t="s">
        <v>287</v>
      </c>
      <c r="AW144" t="s">
        <v>93</v>
      </c>
      <c r="AX144" t="s">
        <v>121</v>
      </c>
      <c r="AY144" t="s">
        <v>95</v>
      </c>
      <c r="AZ144">
        <v>0.466153846</v>
      </c>
      <c r="BA144">
        <v>0.16512502</v>
      </c>
      <c r="BB144">
        <v>5</v>
      </c>
      <c r="BC144">
        <v>0.323076923</v>
      </c>
      <c r="BD144">
        <v>0.077402353</v>
      </c>
      <c r="BE144">
        <v>5</v>
      </c>
      <c r="BF144">
        <v>0.417692308</v>
      </c>
      <c r="BG144">
        <v>0.154804706</v>
      </c>
      <c r="BH144">
        <v>5</v>
      </c>
      <c r="BI144">
        <v>0.274615385</v>
      </c>
      <c r="BJ144">
        <v>0.129003922</v>
      </c>
      <c r="BK144">
        <v>5</v>
      </c>
      <c r="BL144"/>
      <c r="BM144"/>
      <c r="BN144"/>
      <c r="BO144"/>
      <c r="BP144"/>
      <c r="BQ144"/>
      <c r="BR144"/>
      <c r="BS144"/>
      <c r="BT144"/>
      <c r="BU144"/>
      <c r="BV144"/>
      <c r="BW144"/>
      <c r="BX144"/>
    </row>
    <row r="145" s="1" customFormat="1" ht="15" customHeight="1" spans="1:76">
      <c r="A145">
        <v>49</v>
      </c>
      <c r="B145">
        <v>152</v>
      </c>
      <c r="C145" t="s">
        <v>477</v>
      </c>
      <c r="D145" t="s">
        <v>478</v>
      </c>
      <c r="E145">
        <v>2022</v>
      </c>
      <c r="F145" t="s">
        <v>215</v>
      </c>
      <c r="G145" t="s">
        <v>479</v>
      </c>
      <c r="H145" t="s">
        <v>80</v>
      </c>
      <c r="I145" t="s">
        <v>110</v>
      </c>
      <c r="J145" t="s">
        <v>96</v>
      </c>
      <c r="K145" t="s">
        <v>9</v>
      </c>
      <c r="L145" t="s">
        <v>126</v>
      </c>
      <c r="M145" t="s">
        <v>168</v>
      </c>
      <c r="N145" t="s">
        <v>292</v>
      </c>
      <c r="O145" t="s">
        <v>112</v>
      </c>
      <c r="P145" t="s">
        <v>149</v>
      </c>
      <c r="Q145" t="s">
        <v>210</v>
      </c>
      <c r="R145" t="s">
        <v>103</v>
      </c>
      <c r="S145" t="s">
        <v>104</v>
      </c>
      <c r="T145">
        <v>0.33</v>
      </c>
      <c r="U145">
        <v>5.5</v>
      </c>
      <c r="V145">
        <v>0.66</v>
      </c>
      <c r="W145"/>
      <c r="X145"/>
      <c r="Y145">
        <v>0.42</v>
      </c>
      <c r="Z145">
        <v>23</v>
      </c>
      <c r="AA145">
        <v>2.8</v>
      </c>
      <c r="AB145" t="s">
        <v>170</v>
      </c>
      <c r="AC145" t="s">
        <v>170</v>
      </c>
      <c r="AD145"/>
      <c r="AE145">
        <v>0.6</v>
      </c>
      <c r="AF145">
        <v>30.470833</v>
      </c>
      <c r="AG145">
        <v>114.371389</v>
      </c>
      <c r="AH145" t="s">
        <v>481</v>
      </c>
      <c r="AI145">
        <v>119</v>
      </c>
      <c r="AJ145">
        <v>2500</v>
      </c>
      <c r="AK145" t="s">
        <v>86</v>
      </c>
      <c r="AL145">
        <v>48</v>
      </c>
      <c r="AM145">
        <v>4</v>
      </c>
      <c r="AN145" t="s">
        <v>270</v>
      </c>
      <c r="AO145" t="s">
        <v>439</v>
      </c>
      <c r="AP145" t="s">
        <v>466</v>
      </c>
      <c r="AQ145" t="s">
        <v>89</v>
      </c>
      <c r="AR145" t="s">
        <v>89</v>
      </c>
      <c r="AS145" t="s">
        <v>96</v>
      </c>
      <c r="AT145" t="s">
        <v>90</v>
      </c>
      <c r="AU145" t="s">
        <v>221</v>
      </c>
      <c r="AV145" t="s">
        <v>482</v>
      </c>
      <c r="AW145" t="s">
        <v>230</v>
      </c>
      <c r="AX145" t="s">
        <v>483</v>
      </c>
      <c r="AY145" t="s">
        <v>410</v>
      </c>
      <c r="AZ145">
        <v>3266.009852</v>
      </c>
      <c r="BA145">
        <v>428.5714286</v>
      </c>
      <c r="BB145">
        <v>4</v>
      </c>
      <c r="BC145">
        <v>2741.37931</v>
      </c>
      <c r="BD145">
        <v>605.91133</v>
      </c>
      <c r="BE145">
        <v>4</v>
      </c>
      <c r="BF145">
        <v>2785.714286</v>
      </c>
      <c r="BG145">
        <v>266.0098522</v>
      </c>
      <c r="BH145">
        <v>4</v>
      </c>
      <c r="BI145">
        <v>1677.339901</v>
      </c>
      <c r="BJ145">
        <v>443.3497537</v>
      </c>
      <c r="BK145">
        <v>4</v>
      </c>
      <c r="BL145"/>
      <c r="BM145"/>
      <c r="BN145"/>
      <c r="BO145"/>
      <c r="BP145"/>
      <c r="BQ145"/>
      <c r="BR145"/>
      <c r="BS145"/>
      <c r="BT145"/>
      <c r="BU145"/>
      <c r="BV145"/>
      <c r="BW145"/>
      <c r="BX145"/>
    </row>
    <row r="146" s="1" customFormat="1" ht="15" customHeight="1" spans="1:76">
      <c r="A146">
        <v>49</v>
      </c>
      <c r="B146">
        <v>153</v>
      </c>
      <c r="C146" t="s">
        <v>477</v>
      </c>
      <c r="D146" t="s">
        <v>478</v>
      </c>
      <c r="E146">
        <v>2022</v>
      </c>
      <c r="F146" t="s">
        <v>215</v>
      </c>
      <c r="G146" t="s">
        <v>479</v>
      </c>
      <c r="H146" t="s">
        <v>80</v>
      </c>
      <c r="I146" t="s">
        <v>110</v>
      </c>
      <c r="J146" t="s">
        <v>96</v>
      </c>
      <c r="K146" t="s">
        <v>9</v>
      </c>
      <c r="L146" t="s">
        <v>126</v>
      </c>
      <c r="M146" t="s">
        <v>127</v>
      </c>
      <c r="N146" t="s">
        <v>128</v>
      </c>
      <c r="O146" t="s">
        <v>112</v>
      </c>
      <c r="P146" t="s">
        <v>101</v>
      </c>
      <c r="Q146" t="s">
        <v>102</v>
      </c>
      <c r="R146" t="s">
        <v>129</v>
      </c>
      <c r="S146" t="s">
        <v>104</v>
      </c>
      <c r="T146">
        <v>0.33</v>
      </c>
      <c r="U146">
        <v>5.5</v>
      </c>
      <c r="V146">
        <v>0.66</v>
      </c>
      <c r="W146"/>
      <c r="X146"/>
      <c r="Y146">
        <v>0.42</v>
      </c>
      <c r="Z146">
        <v>23</v>
      </c>
      <c r="AA146">
        <v>2.8</v>
      </c>
      <c r="AB146" t="s">
        <v>170</v>
      </c>
      <c r="AC146" t="s">
        <v>170</v>
      </c>
      <c r="AD146"/>
      <c r="AE146">
        <v>0.6</v>
      </c>
      <c r="AF146">
        <v>30.470833</v>
      </c>
      <c r="AG146">
        <v>114.371389</v>
      </c>
      <c r="AH146" t="s">
        <v>481</v>
      </c>
      <c r="AI146">
        <v>119</v>
      </c>
      <c r="AJ146">
        <v>2500</v>
      </c>
      <c r="AK146" t="s">
        <v>86</v>
      </c>
      <c r="AL146">
        <v>48</v>
      </c>
      <c r="AM146">
        <v>4</v>
      </c>
      <c r="AN146" t="s">
        <v>270</v>
      </c>
      <c r="AO146" t="s">
        <v>439</v>
      </c>
      <c r="AP146" t="s">
        <v>466</v>
      </c>
      <c r="AQ146" t="s">
        <v>89</v>
      </c>
      <c r="AR146" t="s">
        <v>89</v>
      </c>
      <c r="AS146" t="s">
        <v>96</v>
      </c>
      <c r="AT146" t="s">
        <v>90</v>
      </c>
      <c r="AU146" t="s">
        <v>221</v>
      </c>
      <c r="AV146" t="s">
        <v>482</v>
      </c>
      <c r="AW146" t="s">
        <v>230</v>
      </c>
      <c r="AX146" t="s">
        <v>483</v>
      </c>
      <c r="AY146" t="s">
        <v>410</v>
      </c>
      <c r="AZ146">
        <v>391.3934426</v>
      </c>
      <c r="BA146">
        <v>114.7540984</v>
      </c>
      <c r="BB146">
        <v>4</v>
      </c>
      <c r="BC146">
        <v>754.0983607</v>
      </c>
      <c r="BD146">
        <v>405.7377049</v>
      </c>
      <c r="BE146">
        <v>4</v>
      </c>
      <c r="BF146">
        <v>92.21311475</v>
      </c>
      <c r="BG146">
        <v>94.26229508</v>
      </c>
      <c r="BH146">
        <v>4</v>
      </c>
      <c r="BI146">
        <v>20.49180328</v>
      </c>
      <c r="BJ146">
        <v>36.8852459</v>
      </c>
      <c r="BK146">
        <v>4</v>
      </c>
      <c r="BL146"/>
      <c r="BM146"/>
      <c r="BN146"/>
      <c r="BO146"/>
      <c r="BP146"/>
      <c r="BQ146"/>
      <c r="BR146"/>
      <c r="BS146"/>
      <c r="BT146"/>
      <c r="BU146"/>
      <c r="BV146"/>
      <c r="BW146"/>
      <c r="BX146"/>
    </row>
    <row r="147" s="1" customFormat="1" ht="15" customHeight="1" spans="1:76">
      <c r="A147">
        <v>49</v>
      </c>
      <c r="B147">
        <v>154</v>
      </c>
      <c r="C147" t="s">
        <v>477</v>
      </c>
      <c r="D147" t="s">
        <v>478</v>
      </c>
      <c r="E147">
        <v>2022</v>
      </c>
      <c r="F147" t="s">
        <v>215</v>
      </c>
      <c r="G147" t="s">
        <v>479</v>
      </c>
      <c r="H147" t="s">
        <v>80</v>
      </c>
      <c r="I147" t="s">
        <v>110</v>
      </c>
      <c r="J147" t="s">
        <v>96</v>
      </c>
      <c r="K147" t="s">
        <v>9</v>
      </c>
      <c r="L147" t="s">
        <v>126</v>
      </c>
      <c r="M147" t="s">
        <v>127</v>
      </c>
      <c r="N147" t="s">
        <v>128</v>
      </c>
      <c r="O147" t="s">
        <v>112</v>
      </c>
      <c r="P147" t="s">
        <v>101</v>
      </c>
      <c r="Q147" t="s">
        <v>102</v>
      </c>
      <c r="R147" t="s">
        <v>129</v>
      </c>
      <c r="S147" t="s">
        <v>104</v>
      </c>
      <c r="T147">
        <v>0.33</v>
      </c>
      <c r="U147">
        <v>5.5</v>
      </c>
      <c r="V147">
        <v>0.66</v>
      </c>
      <c r="W147"/>
      <c r="X147"/>
      <c r="Y147">
        <v>0.42</v>
      </c>
      <c r="Z147">
        <v>23</v>
      </c>
      <c r="AA147">
        <v>2.8</v>
      </c>
      <c r="AB147" t="s">
        <v>170</v>
      </c>
      <c r="AC147" t="s">
        <v>170</v>
      </c>
      <c r="AD147"/>
      <c r="AE147">
        <v>0.6</v>
      </c>
      <c r="AF147">
        <v>30.470833</v>
      </c>
      <c r="AG147">
        <v>114.371389</v>
      </c>
      <c r="AH147" t="s">
        <v>481</v>
      </c>
      <c r="AI147">
        <v>119</v>
      </c>
      <c r="AJ147">
        <v>2500</v>
      </c>
      <c r="AK147" t="s">
        <v>86</v>
      </c>
      <c r="AL147">
        <v>48</v>
      </c>
      <c r="AM147">
        <v>4</v>
      </c>
      <c r="AN147" t="s">
        <v>270</v>
      </c>
      <c r="AO147" t="s">
        <v>439</v>
      </c>
      <c r="AP147" t="s">
        <v>466</v>
      </c>
      <c r="AQ147" t="s">
        <v>89</v>
      </c>
      <c r="AR147" t="s">
        <v>89</v>
      </c>
      <c r="AS147" t="s">
        <v>96</v>
      </c>
      <c r="AT147" t="s">
        <v>90</v>
      </c>
      <c r="AU147" t="s">
        <v>91</v>
      </c>
      <c r="AV147" t="s">
        <v>92</v>
      </c>
      <c r="AW147" t="s">
        <v>221</v>
      </c>
      <c r="AX147" t="s">
        <v>409</v>
      </c>
      <c r="AY147" t="s">
        <v>223</v>
      </c>
      <c r="AZ147">
        <v>3254.43037974683</v>
      </c>
      <c r="BA147">
        <f>(3478.48101265822-AZ147)*2</f>
        <v>448.10126582278</v>
      </c>
      <c r="BB147">
        <v>4</v>
      </c>
      <c r="BC147">
        <v>2278.48101265822</v>
      </c>
      <c r="BD147">
        <f>(2631.64556962025-BC147)*2</f>
        <v>706.32911392406</v>
      </c>
      <c r="BE147">
        <v>4</v>
      </c>
      <c r="BF147">
        <v>2381.01265822784</v>
      </c>
      <c r="BG147">
        <f>(2681.01265822784-2381.01265822784)*2</f>
        <v>600</v>
      </c>
      <c r="BH147">
        <v>4</v>
      </c>
      <c r="BI147">
        <v>1632.91139240506</v>
      </c>
      <c r="BJ147">
        <f>(1746.83544303797-BI147)*2</f>
        <v>227.84810126582</v>
      </c>
      <c r="BK147">
        <v>4</v>
      </c>
      <c r="BL147"/>
      <c r="BM147"/>
      <c r="BN147"/>
      <c r="BO147"/>
      <c r="BP147"/>
      <c r="BQ147"/>
      <c r="BR147"/>
      <c r="BS147"/>
      <c r="BT147"/>
      <c r="BU147"/>
      <c r="BV147"/>
      <c r="BW147"/>
      <c r="BX147"/>
    </row>
    <row r="148" s="1" customFormat="1" ht="15" customHeight="1" spans="1:76">
      <c r="A148">
        <v>49</v>
      </c>
      <c r="B148">
        <v>155</v>
      </c>
      <c r="C148" t="s">
        <v>477</v>
      </c>
      <c r="D148" t="s">
        <v>478</v>
      </c>
      <c r="E148">
        <v>2022</v>
      </c>
      <c r="F148" t="s">
        <v>215</v>
      </c>
      <c r="G148" t="s">
        <v>479</v>
      </c>
      <c r="H148" t="s">
        <v>80</v>
      </c>
      <c r="I148" t="s">
        <v>110</v>
      </c>
      <c r="J148" t="s">
        <v>96</v>
      </c>
      <c r="K148" t="s">
        <v>9</v>
      </c>
      <c r="L148" t="s">
        <v>126</v>
      </c>
      <c r="M148" t="s">
        <v>127</v>
      </c>
      <c r="N148" t="s">
        <v>128</v>
      </c>
      <c r="O148" t="s">
        <v>112</v>
      </c>
      <c r="P148" t="s">
        <v>101</v>
      </c>
      <c r="Q148" t="s">
        <v>102</v>
      </c>
      <c r="R148" t="s">
        <v>129</v>
      </c>
      <c r="S148" t="s">
        <v>104</v>
      </c>
      <c r="T148">
        <v>0.33</v>
      </c>
      <c r="U148">
        <v>5.5</v>
      </c>
      <c r="V148">
        <v>0.66</v>
      </c>
      <c r="W148"/>
      <c r="X148"/>
      <c r="Y148">
        <v>0.42</v>
      </c>
      <c r="Z148">
        <v>23</v>
      </c>
      <c r="AA148">
        <v>2.8</v>
      </c>
      <c r="AB148" t="s">
        <v>170</v>
      </c>
      <c r="AC148" t="s">
        <v>170</v>
      </c>
      <c r="AD148"/>
      <c r="AE148">
        <v>0.6</v>
      </c>
      <c r="AF148">
        <v>30.470833</v>
      </c>
      <c r="AG148">
        <v>114.371389</v>
      </c>
      <c r="AH148" t="s">
        <v>481</v>
      </c>
      <c r="AI148">
        <v>119</v>
      </c>
      <c r="AJ148">
        <v>2500</v>
      </c>
      <c r="AK148" t="s">
        <v>86</v>
      </c>
      <c r="AL148">
        <v>48</v>
      </c>
      <c r="AM148">
        <v>4</v>
      </c>
      <c r="AN148" t="s">
        <v>270</v>
      </c>
      <c r="AO148" t="s">
        <v>439</v>
      </c>
      <c r="AP148" t="s">
        <v>466</v>
      </c>
      <c r="AQ148" t="s">
        <v>89</v>
      </c>
      <c r="AR148" t="s">
        <v>89</v>
      </c>
      <c r="AS148" t="s">
        <v>96</v>
      </c>
      <c r="AT148" t="s">
        <v>90</v>
      </c>
      <c r="AU148" t="s">
        <v>91</v>
      </c>
      <c r="AV148" t="s">
        <v>92</v>
      </c>
      <c r="AW148" t="s">
        <v>221</v>
      </c>
      <c r="AX148" t="s">
        <v>482</v>
      </c>
      <c r="AY148" t="s">
        <v>223</v>
      </c>
      <c r="AZ148">
        <v>3254.43037974683</v>
      </c>
      <c r="BA148">
        <f>(3478.48101265822-AZ148)*2</f>
        <v>448.10126582278</v>
      </c>
      <c r="BB148">
        <v>4</v>
      </c>
      <c r="BC148">
        <v>2278.48101265822</v>
      </c>
      <c r="BD148">
        <f>(2631.64556962025-BC148)*2</f>
        <v>706.32911392406</v>
      </c>
      <c r="BE148">
        <v>4</v>
      </c>
      <c r="BF148">
        <v>2737.9746835443</v>
      </c>
      <c r="BG148">
        <f>(3049.36708860759-BF148)*2</f>
        <v>622.78481012658</v>
      </c>
      <c r="BH148">
        <v>4</v>
      </c>
      <c r="BI148">
        <v>1500</v>
      </c>
      <c r="BJ148">
        <f>(1796.20253164557-BI148)*2</f>
        <v>592.40506329114</v>
      </c>
      <c r="BK148">
        <v>4</v>
      </c>
      <c r="BL148"/>
      <c r="BM148"/>
      <c r="BN148"/>
      <c r="BO148"/>
      <c r="BP148"/>
      <c r="BQ148"/>
      <c r="BR148"/>
      <c r="BS148"/>
      <c r="BT148"/>
      <c r="BU148"/>
      <c r="BV148"/>
      <c r="BW148"/>
      <c r="BX148"/>
    </row>
    <row r="149" s="1" customFormat="1" ht="15" customHeight="1" spans="1:76">
      <c r="A149">
        <v>49</v>
      </c>
      <c r="B149">
        <v>156</v>
      </c>
      <c r="C149" t="s">
        <v>477</v>
      </c>
      <c r="D149" t="s">
        <v>478</v>
      </c>
      <c r="E149">
        <v>2022</v>
      </c>
      <c r="F149" t="s">
        <v>215</v>
      </c>
      <c r="G149" t="s">
        <v>479</v>
      </c>
      <c r="H149" t="s">
        <v>80</v>
      </c>
      <c r="I149" t="s">
        <v>110</v>
      </c>
      <c r="J149" t="s">
        <v>96</v>
      </c>
      <c r="K149" t="s">
        <v>9</v>
      </c>
      <c r="L149" t="s">
        <v>126</v>
      </c>
      <c r="M149" t="s">
        <v>127</v>
      </c>
      <c r="N149" t="s">
        <v>128</v>
      </c>
      <c r="O149" t="s">
        <v>112</v>
      </c>
      <c r="P149" t="s">
        <v>101</v>
      </c>
      <c r="Q149" t="s">
        <v>102</v>
      </c>
      <c r="R149" t="s">
        <v>129</v>
      </c>
      <c r="S149" t="s">
        <v>104</v>
      </c>
      <c r="T149">
        <v>0.33</v>
      </c>
      <c r="U149">
        <v>5.5</v>
      </c>
      <c r="V149">
        <v>0.66</v>
      </c>
      <c r="W149"/>
      <c r="X149"/>
      <c r="Y149">
        <v>0.42</v>
      </c>
      <c r="Z149">
        <v>23</v>
      </c>
      <c r="AA149"/>
      <c r="AB149" t="s">
        <v>170</v>
      </c>
      <c r="AC149" t="s">
        <v>170</v>
      </c>
      <c r="AD149"/>
      <c r="AE149">
        <v>0.6</v>
      </c>
      <c r="AF149">
        <v>30.470833</v>
      </c>
      <c r="AG149">
        <v>114.371389</v>
      </c>
      <c r="AH149" t="s">
        <v>481</v>
      </c>
      <c r="AI149">
        <v>119</v>
      </c>
      <c r="AJ149">
        <v>2500</v>
      </c>
      <c r="AK149" t="s">
        <v>86</v>
      </c>
      <c r="AL149">
        <v>48</v>
      </c>
      <c r="AM149">
        <v>4</v>
      </c>
      <c r="AN149" t="s">
        <v>270</v>
      </c>
      <c r="AO149" t="s">
        <v>439</v>
      </c>
      <c r="AP149" t="s">
        <v>466</v>
      </c>
      <c r="AQ149" t="s">
        <v>89</v>
      </c>
      <c r="AR149" t="s">
        <v>89</v>
      </c>
      <c r="AS149" t="s">
        <v>96</v>
      </c>
      <c r="AT149" t="s">
        <v>90</v>
      </c>
      <c r="AU149" t="s">
        <v>91</v>
      </c>
      <c r="AV149" t="s">
        <v>92</v>
      </c>
      <c r="AW149" t="s">
        <v>230</v>
      </c>
      <c r="AX149" t="s">
        <v>483</v>
      </c>
      <c r="AY149" t="s">
        <v>353</v>
      </c>
      <c r="AZ149">
        <v>3254.43037974683</v>
      </c>
      <c r="BA149">
        <f>(3478.48101265822-AZ149)*2</f>
        <v>448.10126582278</v>
      </c>
      <c r="BB149">
        <v>4</v>
      </c>
      <c r="BC149">
        <v>2278.48101265822</v>
      </c>
      <c r="BD149">
        <f>(2631.64556962025-BC149)*2</f>
        <v>706.32911392406</v>
      </c>
      <c r="BE149">
        <v>4</v>
      </c>
      <c r="BF149">
        <v>2730.37974683544</v>
      </c>
      <c r="BG149">
        <f>(3246.83544303797-BF149)*2</f>
        <v>1032.91139240506</v>
      </c>
      <c r="BH149">
        <v>4</v>
      </c>
      <c r="BI149">
        <v>2791.13924050632</v>
      </c>
      <c r="BJ149">
        <f>(2924.05063291139-2791.13924050632)*2</f>
        <v>265.82278481014</v>
      </c>
      <c r="BK149">
        <v>4</v>
      </c>
      <c r="BL149"/>
      <c r="BM149"/>
      <c r="BN149"/>
      <c r="BO149"/>
      <c r="BP149"/>
      <c r="BQ149"/>
      <c r="BR149"/>
      <c r="BS149"/>
      <c r="BT149"/>
      <c r="BU149"/>
      <c r="BV149"/>
      <c r="BW149"/>
      <c r="BX149"/>
    </row>
    <row r="150" s="1" customFormat="1" ht="15" customHeight="1" spans="1:76">
      <c r="A150">
        <v>49</v>
      </c>
      <c r="B150">
        <v>157</v>
      </c>
      <c r="C150" t="s">
        <v>477</v>
      </c>
      <c r="D150" t="s">
        <v>478</v>
      </c>
      <c r="E150">
        <v>2022</v>
      </c>
      <c r="F150" t="s">
        <v>215</v>
      </c>
      <c r="G150" t="s">
        <v>479</v>
      </c>
      <c r="H150" t="s">
        <v>80</v>
      </c>
      <c r="I150" t="s">
        <v>110</v>
      </c>
      <c r="J150" t="s">
        <v>96</v>
      </c>
      <c r="K150" t="s">
        <v>9</v>
      </c>
      <c r="L150" t="s">
        <v>126</v>
      </c>
      <c r="M150" t="s">
        <v>127</v>
      </c>
      <c r="N150" t="s">
        <v>128</v>
      </c>
      <c r="O150" t="s">
        <v>112</v>
      </c>
      <c r="P150" t="s">
        <v>101</v>
      </c>
      <c r="Q150" t="s">
        <v>102</v>
      </c>
      <c r="R150" t="s">
        <v>129</v>
      </c>
      <c r="S150" t="s">
        <v>104</v>
      </c>
      <c r="T150">
        <v>0.33</v>
      </c>
      <c r="U150">
        <v>5.5</v>
      </c>
      <c r="V150">
        <v>0.66</v>
      </c>
      <c r="W150"/>
      <c r="X150"/>
      <c r="Y150">
        <v>0.42</v>
      </c>
      <c r="Z150">
        <v>23</v>
      </c>
      <c r="AA150">
        <v>2.8</v>
      </c>
      <c r="AB150" t="s">
        <v>170</v>
      </c>
      <c r="AC150" t="s">
        <v>170</v>
      </c>
      <c r="AD150"/>
      <c r="AE150">
        <v>0.6</v>
      </c>
      <c r="AF150">
        <v>30.470833</v>
      </c>
      <c r="AG150">
        <v>114.371389</v>
      </c>
      <c r="AH150" t="s">
        <v>481</v>
      </c>
      <c r="AI150">
        <v>119</v>
      </c>
      <c r="AJ150">
        <v>2500</v>
      </c>
      <c r="AK150" t="s">
        <v>86</v>
      </c>
      <c r="AL150">
        <v>48</v>
      </c>
      <c r="AM150">
        <v>4</v>
      </c>
      <c r="AN150" t="s">
        <v>270</v>
      </c>
      <c r="AO150" t="s">
        <v>439</v>
      </c>
      <c r="AP150" t="s">
        <v>466</v>
      </c>
      <c r="AQ150" t="s">
        <v>89</v>
      </c>
      <c r="AR150" t="s">
        <v>89</v>
      </c>
      <c r="AS150" t="s">
        <v>96</v>
      </c>
      <c r="AT150" t="s">
        <v>90</v>
      </c>
      <c r="AU150" t="s">
        <v>91</v>
      </c>
      <c r="AV150" t="s">
        <v>92</v>
      </c>
      <c r="AW150" t="s">
        <v>221</v>
      </c>
      <c r="AX150" t="s">
        <v>409</v>
      </c>
      <c r="AY150" t="s">
        <v>223</v>
      </c>
      <c r="AZ150">
        <v>390.269151138716</v>
      </c>
      <c r="BA150">
        <f>(447.204968944099-AZ150)*2</f>
        <v>113.871635610766</v>
      </c>
      <c r="BB150">
        <v>4</v>
      </c>
      <c r="BC150">
        <v>101.449275362318</v>
      </c>
      <c r="BD150">
        <f>(174.948240165631-101.449275362318)*2</f>
        <v>146.997929606626</v>
      </c>
      <c r="BE150">
        <v>4</v>
      </c>
      <c r="BF150">
        <v>837.474120082815</v>
      </c>
      <c r="BG150">
        <f>(959.627329192546-837.474120082815)*2</f>
        <v>244.306418219462</v>
      </c>
      <c r="BH150">
        <v>4</v>
      </c>
      <c r="BI150">
        <v>255.693581780538</v>
      </c>
      <c r="BJ150">
        <f>(405.797101449275-BI150)*2</f>
        <v>300.207039337474</v>
      </c>
      <c r="BK150">
        <v>4</v>
      </c>
      <c r="BL150"/>
      <c r="BM150"/>
      <c r="BN150"/>
      <c r="BO150"/>
      <c r="BP150"/>
      <c r="BQ150"/>
      <c r="BR150"/>
      <c r="BS150"/>
      <c r="BT150"/>
      <c r="BU150"/>
      <c r="BV150"/>
      <c r="BW150"/>
      <c r="BX150"/>
    </row>
    <row r="151" s="1" customFormat="1" ht="15" customHeight="1" spans="1:76">
      <c r="A151">
        <v>49</v>
      </c>
      <c r="B151">
        <v>158</v>
      </c>
      <c r="C151" t="s">
        <v>477</v>
      </c>
      <c r="D151" t="s">
        <v>478</v>
      </c>
      <c r="E151">
        <v>2022</v>
      </c>
      <c r="F151" t="s">
        <v>215</v>
      </c>
      <c r="G151" t="s">
        <v>479</v>
      </c>
      <c r="H151" t="s">
        <v>80</v>
      </c>
      <c r="I151" t="s">
        <v>110</v>
      </c>
      <c r="J151" t="s">
        <v>96</v>
      </c>
      <c r="K151" t="s">
        <v>9</v>
      </c>
      <c r="L151" t="s">
        <v>126</v>
      </c>
      <c r="M151" t="s">
        <v>127</v>
      </c>
      <c r="N151" t="s">
        <v>128</v>
      </c>
      <c r="O151" t="s">
        <v>112</v>
      </c>
      <c r="P151" t="s">
        <v>101</v>
      </c>
      <c r="Q151" t="s">
        <v>102</v>
      </c>
      <c r="R151" t="s">
        <v>129</v>
      </c>
      <c r="S151" t="s">
        <v>104</v>
      </c>
      <c r="T151">
        <v>0.33</v>
      </c>
      <c r="U151">
        <v>5.5</v>
      </c>
      <c r="V151">
        <v>0.66</v>
      </c>
      <c r="W151"/>
      <c r="X151"/>
      <c r="Y151">
        <v>0.42</v>
      </c>
      <c r="Z151">
        <v>23</v>
      </c>
      <c r="AA151">
        <v>2.8</v>
      </c>
      <c r="AB151" t="s">
        <v>170</v>
      </c>
      <c r="AC151" t="s">
        <v>170</v>
      </c>
      <c r="AD151"/>
      <c r="AE151">
        <v>0.6</v>
      </c>
      <c r="AF151">
        <v>30.470833</v>
      </c>
      <c r="AG151">
        <v>114.371389</v>
      </c>
      <c r="AH151" t="s">
        <v>481</v>
      </c>
      <c r="AI151">
        <v>119</v>
      </c>
      <c r="AJ151">
        <v>2500</v>
      </c>
      <c r="AK151" t="s">
        <v>86</v>
      </c>
      <c r="AL151">
        <v>48</v>
      </c>
      <c r="AM151">
        <v>4</v>
      </c>
      <c r="AN151" t="s">
        <v>270</v>
      </c>
      <c r="AO151" t="s">
        <v>439</v>
      </c>
      <c r="AP151" t="s">
        <v>466</v>
      </c>
      <c r="AQ151" t="s">
        <v>89</v>
      </c>
      <c r="AR151" t="s">
        <v>89</v>
      </c>
      <c r="AS151" t="s">
        <v>96</v>
      </c>
      <c r="AT151" t="s">
        <v>90</v>
      </c>
      <c r="AU151" t="s">
        <v>91</v>
      </c>
      <c r="AV151" t="s">
        <v>92</v>
      </c>
      <c r="AW151" t="s">
        <v>221</v>
      </c>
      <c r="AX151" t="s">
        <v>482</v>
      </c>
      <c r="AY151" t="s">
        <v>223</v>
      </c>
      <c r="AZ151">
        <v>390.269151138716</v>
      </c>
      <c r="BA151">
        <f>(447.204968944099-AZ151)*2</f>
        <v>113.871635610766</v>
      </c>
      <c r="BB151">
        <v>4</v>
      </c>
      <c r="BC151">
        <v>101.449275362318</v>
      </c>
      <c r="BD151">
        <f>(174.948240165631-101.449275362318)*2</f>
        <v>146.997929606626</v>
      </c>
      <c r="BE151">
        <v>4</v>
      </c>
      <c r="BF151">
        <v>753.623188405797</v>
      </c>
      <c r="BG151">
        <f>(953.416149068323-BF151)*2</f>
        <v>399.585921325052</v>
      </c>
      <c r="BH151">
        <v>4</v>
      </c>
      <c r="BI151">
        <v>611.801242236024</v>
      </c>
      <c r="BJ151">
        <f>(849.896480331262-BI151)*2</f>
        <v>476.190476190476</v>
      </c>
      <c r="BK151">
        <v>4</v>
      </c>
      <c r="BL151"/>
      <c r="BM151"/>
      <c r="BN151"/>
      <c r="BO151"/>
      <c r="BP151"/>
      <c r="BQ151"/>
      <c r="BR151"/>
      <c r="BS151"/>
      <c r="BT151"/>
      <c r="BU151"/>
      <c r="BV151"/>
      <c r="BW151"/>
      <c r="BX151"/>
    </row>
    <row r="152" s="1" customFormat="1" ht="15" customHeight="1" spans="1:76">
      <c r="A152">
        <v>49</v>
      </c>
      <c r="B152">
        <v>159</v>
      </c>
      <c r="C152" t="s">
        <v>477</v>
      </c>
      <c r="D152" t="s">
        <v>478</v>
      </c>
      <c r="E152">
        <v>2022</v>
      </c>
      <c r="F152" t="s">
        <v>215</v>
      </c>
      <c r="G152" t="s">
        <v>479</v>
      </c>
      <c r="H152" t="s">
        <v>80</v>
      </c>
      <c r="I152" t="s">
        <v>110</v>
      </c>
      <c r="J152" t="s">
        <v>96</v>
      </c>
      <c r="K152" t="s">
        <v>9</v>
      </c>
      <c r="L152" t="s">
        <v>126</v>
      </c>
      <c r="M152" t="s">
        <v>127</v>
      </c>
      <c r="N152" t="s">
        <v>128</v>
      </c>
      <c r="O152" t="s">
        <v>112</v>
      </c>
      <c r="P152" t="s">
        <v>101</v>
      </c>
      <c r="Q152" t="s">
        <v>102</v>
      </c>
      <c r="R152" t="s">
        <v>129</v>
      </c>
      <c r="S152" t="s">
        <v>104</v>
      </c>
      <c r="T152">
        <v>0.33</v>
      </c>
      <c r="U152">
        <v>5.5</v>
      </c>
      <c r="V152">
        <v>0.66</v>
      </c>
      <c r="W152"/>
      <c r="X152"/>
      <c r="Y152">
        <v>0.42</v>
      </c>
      <c r="Z152">
        <v>23</v>
      </c>
      <c r="AA152"/>
      <c r="AB152" t="s">
        <v>170</v>
      </c>
      <c r="AC152" t="s">
        <v>170</v>
      </c>
      <c r="AD152"/>
      <c r="AE152">
        <v>0.6</v>
      </c>
      <c r="AF152">
        <v>30.470833</v>
      </c>
      <c r="AG152">
        <v>114.371389</v>
      </c>
      <c r="AH152" t="s">
        <v>481</v>
      </c>
      <c r="AI152">
        <v>119</v>
      </c>
      <c r="AJ152">
        <v>2500</v>
      </c>
      <c r="AK152" t="s">
        <v>86</v>
      </c>
      <c r="AL152">
        <v>48</v>
      </c>
      <c r="AM152">
        <v>4</v>
      </c>
      <c r="AN152" t="s">
        <v>270</v>
      </c>
      <c r="AO152" t="s">
        <v>439</v>
      </c>
      <c r="AP152" t="s">
        <v>466</v>
      </c>
      <c r="AQ152" t="s">
        <v>89</v>
      </c>
      <c r="AR152" t="s">
        <v>89</v>
      </c>
      <c r="AS152" t="s">
        <v>96</v>
      </c>
      <c r="AT152" t="s">
        <v>90</v>
      </c>
      <c r="AU152" t="s">
        <v>91</v>
      </c>
      <c r="AV152" t="s">
        <v>92</v>
      </c>
      <c r="AW152" t="s">
        <v>230</v>
      </c>
      <c r="AX152" t="s">
        <v>483</v>
      </c>
      <c r="AY152" t="s">
        <v>353</v>
      </c>
      <c r="AZ152">
        <v>390.269151138716</v>
      </c>
      <c r="BA152">
        <f>(447.204968944099-AZ152)*2</f>
        <v>113.871635610766</v>
      </c>
      <c r="BB152">
        <v>4</v>
      </c>
      <c r="BC152">
        <v>101.449275362318</v>
      </c>
      <c r="BD152">
        <f>(174.948240165631-101.449275362318)*2</f>
        <v>146.997929606626</v>
      </c>
      <c r="BE152">
        <v>4</v>
      </c>
      <c r="BF152">
        <v>334.368530020703</v>
      </c>
      <c r="BG152">
        <f>(455.486542443064-BF152)*2</f>
        <v>242.236024844722</v>
      </c>
      <c r="BH152">
        <v>4</v>
      </c>
      <c r="BI152">
        <v>92.1325051759834</v>
      </c>
      <c r="BJ152">
        <f>(136.645962732919-BI152)*2</f>
        <v>89.0269151138712</v>
      </c>
      <c r="BK152">
        <v>4</v>
      </c>
      <c r="BL152"/>
      <c r="BM152"/>
      <c r="BN152"/>
      <c r="BO152"/>
      <c r="BP152"/>
      <c r="BQ152"/>
      <c r="BR152"/>
      <c r="BS152"/>
      <c r="BT152"/>
      <c r="BU152"/>
      <c r="BV152"/>
      <c r="BW152"/>
      <c r="BX152"/>
    </row>
    <row r="153" s="1" customFormat="1" ht="15" customHeight="1" spans="1:76">
      <c r="A153">
        <v>49</v>
      </c>
      <c r="B153">
        <v>160</v>
      </c>
      <c r="C153" t="s">
        <v>477</v>
      </c>
      <c r="D153" t="s">
        <v>478</v>
      </c>
      <c r="E153">
        <v>2022</v>
      </c>
      <c r="F153" t="s">
        <v>215</v>
      </c>
      <c r="G153" t="s">
        <v>479</v>
      </c>
      <c r="H153" t="s">
        <v>80</v>
      </c>
      <c r="I153" t="s">
        <v>110</v>
      </c>
      <c r="J153" t="s">
        <v>96</v>
      </c>
      <c r="K153" t="s">
        <v>9</v>
      </c>
      <c r="L153" t="s">
        <v>126</v>
      </c>
      <c r="M153" t="s">
        <v>127</v>
      </c>
      <c r="N153" t="s">
        <v>128</v>
      </c>
      <c r="O153" t="s">
        <v>112</v>
      </c>
      <c r="P153" t="s">
        <v>101</v>
      </c>
      <c r="Q153" t="s">
        <v>102</v>
      </c>
      <c r="R153" t="s">
        <v>129</v>
      </c>
      <c r="S153" t="s">
        <v>104</v>
      </c>
      <c r="T153">
        <v>0.33</v>
      </c>
      <c r="U153">
        <v>5.5</v>
      </c>
      <c r="V153">
        <v>0.66</v>
      </c>
      <c r="W153"/>
      <c r="X153"/>
      <c r="Y153">
        <v>0.42</v>
      </c>
      <c r="Z153">
        <v>23</v>
      </c>
      <c r="AA153">
        <v>2.8</v>
      </c>
      <c r="AB153" t="s">
        <v>170</v>
      </c>
      <c r="AC153" t="s">
        <v>170</v>
      </c>
      <c r="AD153"/>
      <c r="AE153">
        <v>0.6</v>
      </c>
      <c r="AF153">
        <v>30.470833</v>
      </c>
      <c r="AG153">
        <v>114.371389</v>
      </c>
      <c r="AH153" t="s">
        <v>481</v>
      </c>
      <c r="AI153">
        <v>119</v>
      </c>
      <c r="AJ153">
        <v>2500</v>
      </c>
      <c r="AK153" t="s">
        <v>86</v>
      </c>
      <c r="AL153">
        <v>48</v>
      </c>
      <c r="AM153">
        <v>4</v>
      </c>
      <c r="AN153" t="s">
        <v>270</v>
      </c>
      <c r="AO153" t="s">
        <v>439</v>
      </c>
      <c r="AP153" t="s">
        <v>466</v>
      </c>
      <c r="AQ153" t="s">
        <v>89</v>
      </c>
      <c r="AR153" t="s">
        <v>89</v>
      </c>
      <c r="AS153" t="s">
        <v>96</v>
      </c>
      <c r="AT153" t="s">
        <v>90</v>
      </c>
      <c r="AU153" t="s">
        <v>91</v>
      </c>
      <c r="AV153" t="s">
        <v>92</v>
      </c>
      <c r="AW153" t="s">
        <v>221</v>
      </c>
      <c r="AX153" t="s">
        <v>409</v>
      </c>
      <c r="AY153" t="s">
        <v>223</v>
      </c>
      <c r="AZ153">
        <v>3665.98778004073</v>
      </c>
      <c r="BA153">
        <f>(3837.06720977596-AZ153)*2</f>
        <v>342.15885947046</v>
      </c>
      <c r="BB153">
        <v>4</v>
      </c>
      <c r="BC153">
        <v>2395.11201629327</v>
      </c>
      <c r="BD153">
        <f>(2761.71079429735-2395.11201629327)*2</f>
        <v>733.19755600816</v>
      </c>
      <c r="BE153">
        <v>4</v>
      </c>
      <c r="BF153">
        <v>3234.21588594704</v>
      </c>
      <c r="BG153">
        <f>(3482.68839103869-BF153)*2</f>
        <v>496.9450101833</v>
      </c>
      <c r="BH153">
        <v>4</v>
      </c>
      <c r="BI153">
        <v>1898.16700610997</v>
      </c>
      <c r="BJ153">
        <f>(1951.12016293279-BI153)*2</f>
        <v>105.90631364564</v>
      </c>
      <c r="BK153">
        <v>4</v>
      </c>
      <c r="BL153"/>
      <c r="BM153"/>
      <c r="BN153"/>
      <c r="BO153"/>
      <c r="BP153"/>
      <c r="BQ153"/>
      <c r="BR153"/>
      <c r="BS153"/>
      <c r="BT153"/>
      <c r="BU153"/>
      <c r="BV153"/>
      <c r="BW153"/>
      <c r="BX153"/>
    </row>
    <row r="154" s="1" customFormat="1" ht="15" customHeight="1" spans="1:76">
      <c r="A154">
        <v>49</v>
      </c>
      <c r="B154">
        <v>161</v>
      </c>
      <c r="C154" t="s">
        <v>477</v>
      </c>
      <c r="D154" t="s">
        <v>478</v>
      </c>
      <c r="E154">
        <v>2022</v>
      </c>
      <c r="F154" t="s">
        <v>215</v>
      </c>
      <c r="G154" t="s">
        <v>479</v>
      </c>
      <c r="H154" t="s">
        <v>80</v>
      </c>
      <c r="I154" t="s">
        <v>110</v>
      </c>
      <c r="J154" t="s">
        <v>96</v>
      </c>
      <c r="K154" t="s">
        <v>9</v>
      </c>
      <c r="L154" t="s">
        <v>126</v>
      </c>
      <c r="M154" t="s">
        <v>127</v>
      </c>
      <c r="N154" t="s">
        <v>128</v>
      </c>
      <c r="O154" t="s">
        <v>112</v>
      </c>
      <c r="P154" t="s">
        <v>101</v>
      </c>
      <c r="Q154" t="s">
        <v>102</v>
      </c>
      <c r="R154" t="s">
        <v>129</v>
      </c>
      <c r="S154" t="s">
        <v>104</v>
      </c>
      <c r="T154">
        <v>0.33</v>
      </c>
      <c r="U154">
        <v>5.5</v>
      </c>
      <c r="V154">
        <v>0.66</v>
      </c>
      <c r="W154"/>
      <c r="X154"/>
      <c r="Y154">
        <v>0.42</v>
      </c>
      <c r="Z154">
        <v>23</v>
      </c>
      <c r="AA154">
        <v>2.8</v>
      </c>
      <c r="AB154" t="s">
        <v>170</v>
      </c>
      <c r="AC154" t="s">
        <v>170</v>
      </c>
      <c r="AD154"/>
      <c r="AE154">
        <v>0.6</v>
      </c>
      <c r="AF154">
        <v>30.470833</v>
      </c>
      <c r="AG154">
        <v>114.371389</v>
      </c>
      <c r="AH154" t="s">
        <v>481</v>
      </c>
      <c r="AI154">
        <v>119</v>
      </c>
      <c r="AJ154">
        <v>2500</v>
      </c>
      <c r="AK154" t="s">
        <v>86</v>
      </c>
      <c r="AL154">
        <v>48</v>
      </c>
      <c r="AM154">
        <v>4</v>
      </c>
      <c r="AN154" t="s">
        <v>270</v>
      </c>
      <c r="AO154" t="s">
        <v>439</v>
      </c>
      <c r="AP154" t="s">
        <v>466</v>
      </c>
      <c r="AQ154" t="s">
        <v>89</v>
      </c>
      <c r="AR154" t="s">
        <v>89</v>
      </c>
      <c r="AS154" t="s">
        <v>96</v>
      </c>
      <c r="AT154" t="s">
        <v>90</v>
      </c>
      <c r="AU154" t="s">
        <v>91</v>
      </c>
      <c r="AV154" t="s">
        <v>92</v>
      </c>
      <c r="AW154" t="s">
        <v>221</v>
      </c>
      <c r="AX154" t="s">
        <v>482</v>
      </c>
      <c r="AY154" t="s">
        <v>223</v>
      </c>
      <c r="AZ154">
        <v>3665.98778004073</v>
      </c>
      <c r="BA154">
        <f>(3837.06720977596-AZ154)*2</f>
        <v>342.15885947046</v>
      </c>
      <c r="BB154">
        <v>4</v>
      </c>
      <c r="BC154">
        <v>2395.11201629327</v>
      </c>
      <c r="BD154">
        <f>(2761.71079429735-2395.11201629327)*2</f>
        <v>733.19755600816</v>
      </c>
      <c r="BE154">
        <v>4</v>
      </c>
      <c r="BF154">
        <v>3494.90835030549</v>
      </c>
      <c r="BG154">
        <f>(3641.54786150712-BF154)*2</f>
        <v>293.279022403261</v>
      </c>
      <c r="BH154">
        <v>4</v>
      </c>
      <c r="BI154">
        <v>2142.56619144602</v>
      </c>
      <c r="BJ154">
        <f>(2631.36456211812-BI154)*2</f>
        <v>977.596741344199</v>
      </c>
      <c r="BK154">
        <v>4</v>
      </c>
      <c r="BL154"/>
      <c r="BM154"/>
      <c r="BN154"/>
      <c r="BO154"/>
      <c r="BP154"/>
      <c r="BQ154"/>
      <c r="BR154"/>
      <c r="BS154"/>
      <c r="BT154"/>
      <c r="BU154"/>
      <c r="BV154"/>
      <c r="BW154"/>
      <c r="BX154"/>
    </row>
    <row r="155" s="1" customFormat="1" ht="15" customHeight="1" spans="1:76">
      <c r="A155">
        <v>49</v>
      </c>
      <c r="B155">
        <v>162</v>
      </c>
      <c r="C155" t="s">
        <v>477</v>
      </c>
      <c r="D155" t="s">
        <v>478</v>
      </c>
      <c r="E155">
        <v>2022</v>
      </c>
      <c r="F155" t="s">
        <v>215</v>
      </c>
      <c r="G155" t="s">
        <v>479</v>
      </c>
      <c r="H155" t="s">
        <v>80</v>
      </c>
      <c r="I155" t="s">
        <v>110</v>
      </c>
      <c r="J155" t="s">
        <v>96</v>
      </c>
      <c r="K155" t="s">
        <v>9</v>
      </c>
      <c r="L155" t="s">
        <v>126</v>
      </c>
      <c r="M155" t="s">
        <v>127</v>
      </c>
      <c r="N155" t="s">
        <v>128</v>
      </c>
      <c r="O155" t="s">
        <v>112</v>
      </c>
      <c r="P155" t="s">
        <v>101</v>
      </c>
      <c r="Q155" t="s">
        <v>102</v>
      </c>
      <c r="R155" t="s">
        <v>129</v>
      </c>
      <c r="S155" t="s">
        <v>104</v>
      </c>
      <c r="T155">
        <v>0.33</v>
      </c>
      <c r="U155">
        <v>5.5</v>
      </c>
      <c r="V155">
        <v>0.66</v>
      </c>
      <c r="W155"/>
      <c r="X155"/>
      <c r="Y155">
        <v>0.42</v>
      </c>
      <c r="Z155">
        <v>23</v>
      </c>
      <c r="AA155"/>
      <c r="AB155" t="s">
        <v>170</v>
      </c>
      <c r="AC155" t="s">
        <v>170</v>
      </c>
      <c r="AD155"/>
      <c r="AE155">
        <v>0.6</v>
      </c>
      <c r="AF155">
        <v>30.470833</v>
      </c>
      <c r="AG155">
        <v>114.371389</v>
      </c>
      <c r="AH155" t="s">
        <v>481</v>
      </c>
      <c r="AI155">
        <v>119</v>
      </c>
      <c r="AJ155">
        <v>2500</v>
      </c>
      <c r="AK155" t="s">
        <v>86</v>
      </c>
      <c r="AL155">
        <v>48</v>
      </c>
      <c r="AM155">
        <v>4</v>
      </c>
      <c r="AN155" t="s">
        <v>270</v>
      </c>
      <c r="AO155" t="s">
        <v>439</v>
      </c>
      <c r="AP155" t="s">
        <v>466</v>
      </c>
      <c r="AQ155" t="s">
        <v>89</v>
      </c>
      <c r="AR155" t="s">
        <v>89</v>
      </c>
      <c r="AS155" t="s">
        <v>96</v>
      </c>
      <c r="AT155" t="s">
        <v>90</v>
      </c>
      <c r="AU155" t="s">
        <v>91</v>
      </c>
      <c r="AV155" t="s">
        <v>92</v>
      </c>
      <c r="AW155" t="s">
        <v>230</v>
      </c>
      <c r="AX155" t="s">
        <v>483</v>
      </c>
      <c r="AY155" t="s">
        <v>353</v>
      </c>
      <c r="AZ155">
        <v>3665.98778004073</v>
      </c>
      <c r="BA155">
        <f>(3837.06720977596-AZ155)*2</f>
        <v>342.15885947046</v>
      </c>
      <c r="BB155">
        <v>4</v>
      </c>
      <c r="BC155">
        <v>2395.11201629327</v>
      </c>
      <c r="BD155">
        <f>(2761.71079429735-2395.11201629327)*2</f>
        <v>733.19755600816</v>
      </c>
      <c r="BE155">
        <v>4</v>
      </c>
      <c r="BF155">
        <v>3071.28309572301</v>
      </c>
      <c r="BG155">
        <f>(3674.13441955193-BF155)*2</f>
        <v>1205.70264765784</v>
      </c>
      <c r="BH155">
        <v>4</v>
      </c>
      <c r="BI155">
        <v>2892.05702647657</v>
      </c>
      <c r="BJ155">
        <f>(3030.549898167-BI155)*2</f>
        <v>276.985743380859</v>
      </c>
      <c r="BK155">
        <v>4</v>
      </c>
      <c r="BL155"/>
      <c r="BM155"/>
      <c r="BN155"/>
      <c r="BO155"/>
      <c r="BP155"/>
      <c r="BQ155"/>
      <c r="BR155"/>
      <c r="BS155"/>
      <c r="BT155"/>
      <c r="BU155"/>
      <c r="BV155"/>
      <c r="BW155"/>
      <c r="BX155"/>
    </row>
    <row r="156" s="1" customFormat="1" ht="15" customHeight="1" spans="1:76">
      <c r="A156">
        <v>51</v>
      </c>
      <c r="B156">
        <v>163</v>
      </c>
      <c r="C156" t="s">
        <v>490</v>
      </c>
      <c r="D156" t="s">
        <v>491</v>
      </c>
      <c r="E156">
        <v>2010</v>
      </c>
      <c r="F156" t="s">
        <v>492</v>
      </c>
      <c r="G156" t="s">
        <v>493</v>
      </c>
      <c r="H156" t="s">
        <v>198</v>
      </c>
      <c r="I156" t="s">
        <v>494</v>
      </c>
      <c r="J156" t="s">
        <v>96</v>
      </c>
      <c r="K156" t="s">
        <v>9</v>
      </c>
      <c r="L156" t="s">
        <v>146</v>
      </c>
      <c r="M156" t="s">
        <v>147</v>
      </c>
      <c r="N156" t="s">
        <v>488</v>
      </c>
      <c r="O156" t="s">
        <v>112</v>
      </c>
      <c r="P156" t="s">
        <v>149</v>
      </c>
      <c r="Q156" t="s">
        <v>102</v>
      </c>
      <c r="R156" t="s">
        <v>103</v>
      </c>
      <c r="S156" t="s">
        <v>104</v>
      </c>
      <c r="T156"/>
      <c r="U156"/>
      <c r="V156"/>
      <c r="W156"/>
      <c r="X156"/>
      <c r="Y156"/>
      <c r="Z156">
        <v>25</v>
      </c>
      <c r="AA156"/>
      <c r="AB156" t="s">
        <v>105</v>
      </c>
      <c r="AC156" t="s">
        <v>105</v>
      </c>
      <c r="AD156"/>
      <c r="AE156"/>
      <c r="AF156">
        <v>35.85</v>
      </c>
      <c r="AG156">
        <v>139.6</v>
      </c>
      <c r="AH156" t="s">
        <v>495</v>
      </c>
      <c r="AI156">
        <v>84</v>
      </c>
      <c r="AJ156">
        <v>1.024</v>
      </c>
      <c r="AK156" t="s">
        <v>115</v>
      </c>
      <c r="AL156">
        <v>12</v>
      </c>
      <c r="AM156">
        <v>3</v>
      </c>
      <c r="AN156" t="s">
        <v>87</v>
      </c>
      <c r="AO156" t="s">
        <v>219</v>
      </c>
      <c r="AP156" t="s">
        <v>496</v>
      </c>
      <c r="AQ156" t="s">
        <v>89</v>
      </c>
      <c r="AR156" t="s">
        <v>135</v>
      </c>
      <c r="AS156" t="s">
        <v>96</v>
      </c>
      <c r="AT156" t="s">
        <v>497</v>
      </c>
      <c r="AU156" t="s">
        <v>119</v>
      </c>
      <c r="AV156" t="s">
        <v>498</v>
      </c>
      <c r="AW156" t="s">
        <v>119</v>
      </c>
      <c r="AX156" t="s">
        <v>344</v>
      </c>
      <c r="AY156" t="s">
        <v>282</v>
      </c>
      <c r="AZ156">
        <v>8.333333333</v>
      </c>
      <c r="BA156">
        <v>1.3888889</v>
      </c>
      <c r="BB156">
        <v>3</v>
      </c>
      <c r="BC156">
        <v>30.97222222</v>
      </c>
      <c r="BD156">
        <v>2.29166666</v>
      </c>
      <c r="BE156">
        <v>3</v>
      </c>
      <c r="BF156">
        <v>6.1111111</v>
      </c>
      <c r="BG156">
        <v>3.055555548</v>
      </c>
      <c r="BH156">
        <v>3</v>
      </c>
      <c r="BI156">
        <v>10.27777778</v>
      </c>
      <c r="BJ156">
        <v>2.638888883</v>
      </c>
      <c r="BK156">
        <v>3</v>
      </c>
      <c r="BL156"/>
      <c r="BM156"/>
      <c r="BN156"/>
      <c r="BO156"/>
      <c r="BP156"/>
      <c r="BQ156"/>
      <c r="BR156"/>
      <c r="BS156"/>
      <c r="BT156"/>
      <c r="BU156"/>
      <c r="BV156"/>
      <c r="BW156"/>
      <c r="BX156"/>
    </row>
    <row r="157" s="1" customFormat="1" ht="15" customHeight="1" spans="1:76">
      <c r="A157">
        <v>50</v>
      </c>
      <c r="B157">
        <v>164</v>
      </c>
      <c r="C157" t="s">
        <v>499</v>
      </c>
      <c r="D157" t="s">
        <v>500</v>
      </c>
      <c r="E157">
        <v>2014</v>
      </c>
      <c r="F157" t="s">
        <v>501</v>
      </c>
      <c r="G157" t="s">
        <v>228</v>
      </c>
      <c r="H157" t="s">
        <v>80</v>
      </c>
      <c r="I157" t="s">
        <v>217</v>
      </c>
      <c r="J157" t="s">
        <v>82</v>
      </c>
      <c r="K157" t="s">
        <v>502</v>
      </c>
      <c r="L157" t="s">
        <v>84</v>
      </c>
      <c r="M157" t="s">
        <v>84</v>
      </c>
      <c r="N157" t="s">
        <v>84</v>
      </c>
      <c r="O157" t="s">
        <v>84</v>
      </c>
      <c r="P157"/>
      <c r="Q157"/>
      <c r="R157"/>
      <c r="S157"/>
      <c r="T157">
        <v>0.33</v>
      </c>
      <c r="U157"/>
      <c r="V157">
        <v>0.66</v>
      </c>
      <c r="W157"/>
      <c r="X157"/>
      <c r="Y157"/>
      <c r="Z157"/>
      <c r="AA157"/>
      <c r="AB157"/>
      <c r="AC157"/>
      <c r="AD157"/>
      <c r="AE157"/>
      <c r="AF157">
        <v>52.2</v>
      </c>
      <c r="AG157">
        <v>5.033333</v>
      </c>
      <c r="AH157" t="s">
        <v>503</v>
      </c>
      <c r="AI157">
        <v>66</v>
      </c>
      <c r="AJ157">
        <v>40</v>
      </c>
      <c r="AK157" t="s">
        <v>115</v>
      </c>
      <c r="AL157">
        <v>20</v>
      </c>
      <c r="AM157">
        <v>5</v>
      </c>
      <c r="AN157" t="s">
        <v>270</v>
      </c>
      <c r="AO157" t="s">
        <v>87</v>
      </c>
      <c r="AP157" t="s">
        <v>142</v>
      </c>
      <c r="AQ157" t="s">
        <v>89</v>
      </c>
      <c r="AR157" t="s">
        <v>89</v>
      </c>
      <c r="AS157" t="s">
        <v>96</v>
      </c>
      <c r="AT157" t="s">
        <v>504</v>
      </c>
      <c r="AU157" t="s">
        <v>91</v>
      </c>
      <c r="AV157" t="s">
        <v>287</v>
      </c>
      <c r="AW157" t="s">
        <v>93</v>
      </c>
      <c r="AX157" t="s">
        <v>505</v>
      </c>
      <c r="AY157" t="s">
        <v>95</v>
      </c>
      <c r="AZ157">
        <v>87.89473684</v>
      </c>
      <c r="BA157">
        <v>91.79647487</v>
      </c>
      <c r="BB157">
        <v>5</v>
      </c>
      <c r="BC157">
        <v>179.4736842</v>
      </c>
      <c r="BD157">
        <v>108.2727652</v>
      </c>
      <c r="BE157">
        <v>5</v>
      </c>
      <c r="BF157">
        <v>172.1052632</v>
      </c>
      <c r="BG157">
        <v>105.9190095</v>
      </c>
      <c r="BH157">
        <v>5</v>
      </c>
      <c r="BI157">
        <v>67.89473684</v>
      </c>
      <c r="BJ157">
        <v>87.08896333</v>
      </c>
      <c r="BK157">
        <v>5</v>
      </c>
      <c r="BL157"/>
      <c r="BM157"/>
      <c r="BN157"/>
      <c r="BO157"/>
      <c r="BP157"/>
      <c r="BQ157"/>
      <c r="BR157"/>
      <c r="BS157"/>
      <c r="BT157"/>
      <c r="BU157"/>
      <c r="BV157"/>
      <c r="BW157"/>
      <c r="BX157"/>
    </row>
    <row r="158" s="1" customFormat="1" ht="15" customHeight="1" spans="1:76">
      <c r="A158">
        <v>52</v>
      </c>
      <c r="B158">
        <v>165</v>
      </c>
      <c r="C158" t="s">
        <v>506</v>
      </c>
      <c r="D158"/>
      <c r="E158">
        <v>2010</v>
      </c>
      <c r="F158" t="s">
        <v>507</v>
      </c>
      <c r="G158" t="s">
        <v>508</v>
      </c>
      <c r="H158" t="s">
        <v>198</v>
      </c>
      <c r="I158" t="s">
        <v>509</v>
      </c>
      <c r="J158" t="s">
        <v>96</v>
      </c>
      <c r="K158" t="s">
        <v>9</v>
      </c>
      <c r="L158" t="s">
        <v>126</v>
      </c>
      <c r="M158" t="s">
        <v>510</v>
      </c>
      <c r="N158" t="s">
        <v>326</v>
      </c>
      <c r="O158" t="s">
        <v>100</v>
      </c>
      <c r="P158" t="s">
        <v>149</v>
      </c>
      <c r="Q158" t="s">
        <v>102</v>
      </c>
      <c r="R158" t="s">
        <v>129</v>
      </c>
      <c r="S158" t="s">
        <v>104</v>
      </c>
      <c r="T158"/>
      <c r="U158"/>
      <c r="V158"/>
      <c r="W158"/>
      <c r="X158"/>
      <c r="Y158"/>
      <c r="Z158">
        <v>23</v>
      </c>
      <c r="AA158"/>
      <c r="AB158"/>
      <c r="AC158"/>
      <c r="AD158"/>
      <c r="AE158"/>
      <c r="AF158"/>
      <c r="AG158"/>
      <c r="AH158" t="s">
        <v>334</v>
      </c>
      <c r="AI158">
        <v>14</v>
      </c>
      <c r="AJ158"/>
      <c r="AK158"/>
      <c r="AL158">
        <v>36</v>
      </c>
      <c r="AM158">
        <v>6</v>
      </c>
      <c r="AN158"/>
      <c r="AO158"/>
      <c r="AP158"/>
      <c r="AQ158" t="s">
        <v>185</v>
      </c>
      <c r="AR158" t="s">
        <v>186</v>
      </c>
      <c r="AS158" t="s">
        <v>82</v>
      </c>
      <c r="AT158" t="s">
        <v>187</v>
      </c>
      <c r="AU158" t="s">
        <v>193</v>
      </c>
      <c r="AV158" t="s">
        <v>511</v>
      </c>
      <c r="AW158" t="s">
        <v>193</v>
      </c>
      <c r="AX158" t="s">
        <v>512</v>
      </c>
      <c r="AY158" t="s">
        <v>513</v>
      </c>
      <c r="AZ158">
        <v>0.0591827956989247</v>
      </c>
      <c r="BA158">
        <v>0.00395698924731183</v>
      </c>
      <c r="BB158">
        <v>6</v>
      </c>
      <c r="BC158">
        <v>0.0901505376344086</v>
      </c>
      <c r="BD158">
        <v>0.0029247311827957</v>
      </c>
      <c r="BE158">
        <v>6</v>
      </c>
      <c r="BF158">
        <v>0.110279569892473</v>
      </c>
      <c r="BG158">
        <v>0.00154838709677419</v>
      </c>
      <c r="BH158">
        <v>6</v>
      </c>
      <c r="BI158">
        <v>0.109763440860215</v>
      </c>
      <c r="BJ158">
        <v>0.00412903225806452</v>
      </c>
      <c r="BK158">
        <v>6</v>
      </c>
      <c r="BL158"/>
      <c r="BM158"/>
      <c r="BN158"/>
      <c r="BO158"/>
      <c r="BP158"/>
      <c r="BQ158"/>
      <c r="BR158"/>
      <c r="BS158"/>
      <c r="BT158"/>
      <c r="BU158"/>
      <c r="BV158"/>
      <c r="BW158"/>
      <c r="BX158"/>
    </row>
    <row r="159" s="1" customFormat="1" ht="15" customHeight="1" spans="1:76">
      <c r="A159">
        <v>53</v>
      </c>
      <c r="B159">
        <v>166</v>
      </c>
      <c r="C159" t="s">
        <v>514</v>
      </c>
      <c r="D159" t="s">
        <v>515</v>
      </c>
      <c r="E159">
        <v>2019</v>
      </c>
      <c r="F159" t="s">
        <v>516</v>
      </c>
      <c r="G159" t="s">
        <v>236</v>
      </c>
      <c r="H159" t="s">
        <v>198</v>
      </c>
      <c r="I159" t="s">
        <v>81</v>
      </c>
      <c r="J159" t="s">
        <v>96</v>
      </c>
      <c r="K159" t="s">
        <v>9</v>
      </c>
      <c r="L159" t="s">
        <v>146</v>
      </c>
      <c r="M159" t="s">
        <v>428</v>
      </c>
      <c r="N159" t="s">
        <v>517</v>
      </c>
      <c r="O159" t="s">
        <v>112</v>
      </c>
      <c r="P159" t="s">
        <v>149</v>
      </c>
      <c r="Q159" t="s">
        <v>102</v>
      </c>
      <c r="R159" t="s">
        <v>103</v>
      </c>
      <c r="S159" t="s">
        <v>104</v>
      </c>
      <c r="T159"/>
      <c r="U159"/>
      <c r="V159"/>
      <c r="W159"/>
      <c r="X159"/>
      <c r="Y159"/>
      <c r="Z159">
        <v>20</v>
      </c>
      <c r="AA159">
        <v>10</v>
      </c>
      <c r="AB159" t="s">
        <v>105</v>
      </c>
      <c r="AC159" t="s">
        <v>170</v>
      </c>
      <c r="AD159"/>
      <c r="AE159"/>
      <c r="AF159">
        <v>37.716667</v>
      </c>
      <c r="AG159">
        <v>-121.533333</v>
      </c>
      <c r="AH159" t="s">
        <v>199</v>
      </c>
      <c r="AI159">
        <v>56</v>
      </c>
      <c r="AJ159">
        <v>203.2</v>
      </c>
      <c r="AK159" t="s">
        <v>86</v>
      </c>
      <c r="AL159">
        <v>27</v>
      </c>
      <c r="AM159">
        <v>3</v>
      </c>
      <c r="AN159" t="s">
        <v>270</v>
      </c>
      <c r="AO159" t="s">
        <v>87</v>
      </c>
      <c r="AP159" t="s">
        <v>518</v>
      </c>
      <c r="AQ159" t="s">
        <v>89</v>
      </c>
      <c r="AR159" t="s">
        <v>89</v>
      </c>
      <c r="AS159" t="s">
        <v>96</v>
      </c>
      <c r="AT159" t="s">
        <v>90</v>
      </c>
      <c r="AU159" t="s">
        <v>221</v>
      </c>
      <c r="AV159" t="s">
        <v>222</v>
      </c>
      <c r="AW159" t="s">
        <v>230</v>
      </c>
      <c r="AX159" t="s">
        <v>519</v>
      </c>
      <c r="AY159" t="s">
        <v>410</v>
      </c>
      <c r="AZ159">
        <v>17.25</v>
      </c>
      <c r="BA159">
        <v>5.398225005</v>
      </c>
      <c r="BB159">
        <v>3</v>
      </c>
      <c r="BC159">
        <v>23.61666667</v>
      </c>
      <c r="BD159">
        <v>8.284977518</v>
      </c>
      <c r="BE159">
        <v>3</v>
      </c>
      <c r="BF159">
        <v>12.133333</v>
      </c>
      <c r="BG159">
        <v>5.860106907</v>
      </c>
      <c r="BH159">
        <v>3</v>
      </c>
      <c r="BI159">
        <v>21.78333333</v>
      </c>
      <c r="BJ159">
        <v>6.524057926</v>
      </c>
      <c r="BK159">
        <v>3</v>
      </c>
      <c r="BL159"/>
      <c r="BM159"/>
      <c r="BN159"/>
      <c r="BO159"/>
      <c r="BP159"/>
      <c r="BQ159"/>
      <c r="BR159"/>
      <c r="BS159"/>
      <c r="BT159"/>
      <c r="BU159"/>
      <c r="BV159"/>
      <c r="BW159"/>
      <c r="BX159"/>
    </row>
    <row r="160" s="1" customFormat="1" ht="15" customHeight="1" spans="1:76">
      <c r="A160">
        <v>54</v>
      </c>
      <c r="B160">
        <v>167</v>
      </c>
      <c r="C160" t="s">
        <v>520</v>
      </c>
      <c r="D160" t="s">
        <v>521</v>
      </c>
      <c r="E160">
        <v>2020</v>
      </c>
      <c r="F160" t="s">
        <v>522</v>
      </c>
      <c r="G160" t="s">
        <v>523</v>
      </c>
      <c r="H160" t="s">
        <v>198</v>
      </c>
      <c r="I160" t="s">
        <v>373</v>
      </c>
      <c r="J160" t="s">
        <v>96</v>
      </c>
      <c r="K160" t="s">
        <v>9</v>
      </c>
      <c r="L160" t="s">
        <v>374</v>
      </c>
      <c r="M160" t="s">
        <v>375</v>
      </c>
      <c r="N160" t="s">
        <v>376</v>
      </c>
      <c r="O160" t="s">
        <v>112</v>
      </c>
      <c r="P160" t="s">
        <v>149</v>
      </c>
      <c r="Q160" t="s">
        <v>102</v>
      </c>
      <c r="R160" t="s">
        <v>103</v>
      </c>
      <c r="S160" t="s">
        <v>248</v>
      </c>
      <c r="T160">
        <f>2.308+0.03+0.002</f>
        <v>2.34</v>
      </c>
      <c r="U160"/>
      <c r="V160"/>
      <c r="W160"/>
      <c r="X160">
        <v>0.002</v>
      </c>
      <c r="Y160"/>
      <c r="Z160">
        <v>18</v>
      </c>
      <c r="AA160"/>
      <c r="AB160" t="s">
        <v>105</v>
      </c>
      <c r="AC160" t="s">
        <v>105</v>
      </c>
      <c r="AD160"/>
      <c r="AE160"/>
      <c r="AF160">
        <v>51.183333</v>
      </c>
      <c r="AG160">
        <v>4.416667</v>
      </c>
      <c r="AH160" t="s">
        <v>524</v>
      </c>
      <c r="AI160">
        <v>134</v>
      </c>
      <c r="AJ160">
        <v>245.52</v>
      </c>
      <c r="AK160" t="s">
        <v>86</v>
      </c>
      <c r="AL160">
        <v>384</v>
      </c>
      <c r="AM160">
        <v>48</v>
      </c>
      <c r="AN160" t="s">
        <v>270</v>
      </c>
      <c r="AO160" t="s">
        <v>87</v>
      </c>
      <c r="AP160" t="s">
        <v>525</v>
      </c>
      <c r="AQ160" t="s">
        <v>185</v>
      </c>
      <c r="AR160" t="s">
        <v>526</v>
      </c>
      <c r="AS160" t="s">
        <v>96</v>
      </c>
      <c r="AT160" t="s">
        <v>527</v>
      </c>
      <c r="AU160" t="s">
        <v>380</v>
      </c>
      <c r="AV160" t="s">
        <v>381</v>
      </c>
      <c r="AW160" t="s">
        <v>193</v>
      </c>
      <c r="AX160" t="s">
        <v>193</v>
      </c>
      <c r="AY160" t="s">
        <v>383</v>
      </c>
      <c r="AZ160">
        <v>-10.37242435</v>
      </c>
      <c r="BA160">
        <v>5.764778015</v>
      </c>
      <c r="BB160">
        <v>48</v>
      </c>
      <c r="BC160">
        <v>-1.385343061</v>
      </c>
      <c r="BD160">
        <v>5.088843018</v>
      </c>
      <c r="BE160">
        <v>48</v>
      </c>
      <c r="BF160">
        <v>16.43541443</v>
      </c>
      <c r="BG160">
        <v>5.625533803</v>
      </c>
      <c r="BH160">
        <v>48</v>
      </c>
      <c r="BI160">
        <v>18.7367576</v>
      </c>
      <c r="BJ160">
        <v>8.073599605</v>
      </c>
      <c r="BK160">
        <v>48</v>
      </c>
      <c r="BL160"/>
      <c r="BM160"/>
      <c r="BN160"/>
      <c r="BO160"/>
      <c r="BP160"/>
      <c r="BQ160"/>
      <c r="BR160"/>
      <c r="BS160"/>
      <c r="BT160"/>
      <c r="BU160"/>
      <c r="BV160"/>
      <c r="BW160"/>
      <c r="BX160"/>
    </row>
    <row r="161" s="1" customFormat="1" ht="15" customHeight="1" spans="1:76">
      <c r="A161">
        <v>54</v>
      </c>
      <c r="B161">
        <v>168</v>
      </c>
      <c r="C161" t="s">
        <v>520</v>
      </c>
      <c r="D161" t="s">
        <v>521</v>
      </c>
      <c r="E161">
        <v>2020</v>
      </c>
      <c r="F161" t="s">
        <v>522</v>
      </c>
      <c r="G161" t="s">
        <v>523</v>
      </c>
      <c r="H161" t="s">
        <v>198</v>
      </c>
      <c r="I161" t="s">
        <v>373</v>
      </c>
      <c r="J161" t="s">
        <v>96</v>
      </c>
      <c r="K161" t="s">
        <v>9</v>
      </c>
      <c r="L161" t="s">
        <v>374</v>
      </c>
      <c r="M161" t="s">
        <v>375</v>
      </c>
      <c r="N161" t="s">
        <v>376</v>
      </c>
      <c r="O161" t="s">
        <v>112</v>
      </c>
      <c r="P161" t="s">
        <v>149</v>
      </c>
      <c r="Q161" t="s">
        <v>102</v>
      </c>
      <c r="R161" t="s">
        <v>103</v>
      </c>
      <c r="S161" t="s">
        <v>248</v>
      </c>
      <c r="T161">
        <v>2.34</v>
      </c>
      <c r="U161"/>
      <c r="V161"/>
      <c r="W161"/>
      <c r="X161">
        <v>0.002</v>
      </c>
      <c r="Y161"/>
      <c r="Z161">
        <v>18</v>
      </c>
      <c r="AA161"/>
      <c r="AB161" t="s">
        <v>105</v>
      </c>
      <c r="AC161" t="s">
        <v>105</v>
      </c>
      <c r="AD161"/>
      <c r="AE161"/>
      <c r="AF161">
        <v>51.183333</v>
      </c>
      <c r="AG161">
        <v>4.416667</v>
      </c>
      <c r="AH161" t="s">
        <v>524</v>
      </c>
      <c r="AI161">
        <v>134</v>
      </c>
      <c r="AJ161">
        <v>245.52</v>
      </c>
      <c r="AK161" t="s">
        <v>86</v>
      </c>
      <c r="AL161">
        <v>384</v>
      </c>
      <c r="AM161">
        <v>48</v>
      </c>
      <c r="AN161" t="s">
        <v>270</v>
      </c>
      <c r="AO161" t="s">
        <v>87</v>
      </c>
      <c r="AP161" t="s">
        <v>525</v>
      </c>
      <c r="AQ161" t="s">
        <v>185</v>
      </c>
      <c r="AR161" t="s">
        <v>526</v>
      </c>
      <c r="AS161" t="s">
        <v>96</v>
      </c>
      <c r="AT161" t="s">
        <v>527</v>
      </c>
      <c r="AU161" t="s">
        <v>380</v>
      </c>
      <c r="AV161" t="s">
        <v>381</v>
      </c>
      <c r="AW161" t="s">
        <v>119</v>
      </c>
      <c r="AX161" t="s">
        <v>528</v>
      </c>
      <c r="AY161" t="s">
        <v>529</v>
      </c>
      <c r="AZ161">
        <v>-10.37242435</v>
      </c>
      <c r="BA161">
        <v>5.764778015</v>
      </c>
      <c r="BB161">
        <v>48</v>
      </c>
      <c r="BC161">
        <v>-1.385343061</v>
      </c>
      <c r="BD161">
        <v>5.088843018</v>
      </c>
      <c r="BE161">
        <v>48</v>
      </c>
      <c r="BF161">
        <v>-28.10125456</v>
      </c>
      <c r="BG161">
        <v>5.199344849</v>
      </c>
      <c r="BH161">
        <v>48</v>
      </c>
      <c r="BI161">
        <v>-27.10241178</v>
      </c>
      <c r="BJ161">
        <v>6.961129441</v>
      </c>
      <c r="BK161">
        <v>48</v>
      </c>
      <c r="BL161"/>
      <c r="BM161"/>
      <c r="BN161"/>
      <c r="BO161"/>
      <c r="BP161"/>
      <c r="BQ161"/>
      <c r="BR161"/>
      <c r="BS161"/>
      <c r="BT161"/>
      <c r="BU161"/>
      <c r="BV161"/>
      <c r="BW161"/>
      <c r="BX161"/>
    </row>
    <row r="162" s="1" customFormat="1" ht="15" customHeight="1" spans="1:76">
      <c r="A162">
        <v>54</v>
      </c>
      <c r="B162">
        <v>169</v>
      </c>
      <c r="C162" t="s">
        <v>520</v>
      </c>
      <c r="D162" t="s">
        <v>521</v>
      </c>
      <c r="E162">
        <v>2020</v>
      </c>
      <c r="F162" t="s">
        <v>522</v>
      </c>
      <c r="G162" t="s">
        <v>523</v>
      </c>
      <c r="H162" t="s">
        <v>198</v>
      </c>
      <c r="I162" t="s">
        <v>373</v>
      </c>
      <c r="J162" t="s">
        <v>96</v>
      </c>
      <c r="K162" t="s">
        <v>9</v>
      </c>
      <c r="L162" t="s">
        <v>374</v>
      </c>
      <c r="M162" t="s">
        <v>375</v>
      </c>
      <c r="N162" t="s">
        <v>376</v>
      </c>
      <c r="O162" t="s">
        <v>112</v>
      </c>
      <c r="P162" t="s">
        <v>149</v>
      </c>
      <c r="Q162" t="s">
        <v>102</v>
      </c>
      <c r="R162" t="s">
        <v>103</v>
      </c>
      <c r="S162" t="s">
        <v>248</v>
      </c>
      <c r="T162">
        <v>2.34</v>
      </c>
      <c r="U162"/>
      <c r="V162"/>
      <c r="W162"/>
      <c r="X162">
        <v>0.002</v>
      </c>
      <c r="Y162"/>
      <c r="Z162">
        <v>18</v>
      </c>
      <c r="AA162"/>
      <c r="AB162" t="s">
        <v>105</v>
      </c>
      <c r="AC162" t="s">
        <v>105</v>
      </c>
      <c r="AD162"/>
      <c r="AE162"/>
      <c r="AF162">
        <v>51.183333</v>
      </c>
      <c r="AG162">
        <v>4.416667</v>
      </c>
      <c r="AH162" t="s">
        <v>524</v>
      </c>
      <c r="AI162">
        <v>134</v>
      </c>
      <c r="AJ162">
        <v>245.52</v>
      </c>
      <c r="AK162" t="s">
        <v>86</v>
      </c>
      <c r="AL162">
        <v>384</v>
      </c>
      <c r="AM162">
        <v>48</v>
      </c>
      <c r="AN162" t="s">
        <v>270</v>
      </c>
      <c r="AO162" t="s">
        <v>87</v>
      </c>
      <c r="AP162" t="s">
        <v>525</v>
      </c>
      <c r="AQ162" t="s">
        <v>185</v>
      </c>
      <c r="AR162" t="s">
        <v>526</v>
      </c>
      <c r="AS162" t="s">
        <v>96</v>
      </c>
      <c r="AT162" t="s">
        <v>527</v>
      </c>
      <c r="AU162" t="s">
        <v>193</v>
      </c>
      <c r="AV162" t="s">
        <v>193</v>
      </c>
      <c r="AW162" t="s">
        <v>119</v>
      </c>
      <c r="AX162" t="s">
        <v>528</v>
      </c>
      <c r="AY162" t="s">
        <v>201</v>
      </c>
      <c r="AZ162">
        <v>-10.37242435</v>
      </c>
      <c r="BA162">
        <v>5.764778015</v>
      </c>
      <c r="BB162">
        <v>48</v>
      </c>
      <c r="BC162">
        <v>16.43541443</v>
      </c>
      <c r="BD162">
        <v>5.625533803</v>
      </c>
      <c r="BE162">
        <v>48</v>
      </c>
      <c r="BF162">
        <v>-28.10125456</v>
      </c>
      <c r="BG162">
        <v>5.199344849</v>
      </c>
      <c r="BH162">
        <v>48</v>
      </c>
      <c r="BI162">
        <v>-0.10052189</v>
      </c>
      <c r="BJ162">
        <v>5.314305406</v>
      </c>
      <c r="BK162">
        <v>48</v>
      </c>
      <c r="BL162"/>
      <c r="BM162"/>
      <c r="BN162"/>
      <c r="BO162"/>
      <c r="BP162"/>
      <c r="BQ162"/>
      <c r="BR162"/>
      <c r="BS162"/>
      <c r="BT162"/>
      <c r="BU162"/>
      <c r="BV162"/>
      <c r="BW162"/>
      <c r="BX162"/>
    </row>
    <row r="163" s="1" customFormat="1" ht="15" customHeight="1" spans="1:76">
      <c r="A163">
        <v>54</v>
      </c>
      <c r="B163">
        <v>170</v>
      </c>
      <c r="C163" t="s">
        <v>520</v>
      </c>
      <c r="D163" t="s">
        <v>521</v>
      </c>
      <c r="E163">
        <v>2020</v>
      </c>
      <c r="F163" t="s">
        <v>522</v>
      </c>
      <c r="G163" t="s">
        <v>523</v>
      </c>
      <c r="H163" t="s">
        <v>198</v>
      </c>
      <c r="I163" t="s">
        <v>373</v>
      </c>
      <c r="J163" t="s">
        <v>96</v>
      </c>
      <c r="K163" t="s">
        <v>9</v>
      </c>
      <c r="L163" t="s">
        <v>374</v>
      </c>
      <c r="M163" t="s">
        <v>375</v>
      </c>
      <c r="N163" t="s">
        <v>376</v>
      </c>
      <c r="O163" t="s">
        <v>112</v>
      </c>
      <c r="P163" t="s">
        <v>149</v>
      </c>
      <c r="Q163" t="s">
        <v>102</v>
      </c>
      <c r="R163" t="s">
        <v>103</v>
      </c>
      <c r="S163" t="s">
        <v>248</v>
      </c>
      <c r="T163">
        <v>2.34</v>
      </c>
      <c r="U163"/>
      <c r="V163"/>
      <c r="W163"/>
      <c r="X163">
        <v>0.002</v>
      </c>
      <c r="Y163"/>
      <c r="Z163">
        <v>18</v>
      </c>
      <c r="AA163"/>
      <c r="AB163" t="s">
        <v>105</v>
      </c>
      <c r="AC163" t="s">
        <v>105</v>
      </c>
      <c r="AD163"/>
      <c r="AE163"/>
      <c r="AF163">
        <v>51.183333</v>
      </c>
      <c r="AG163">
        <v>4.416667</v>
      </c>
      <c r="AH163" t="s">
        <v>524</v>
      </c>
      <c r="AI163">
        <v>134</v>
      </c>
      <c r="AJ163">
        <v>245.52</v>
      </c>
      <c r="AK163" t="s">
        <v>86</v>
      </c>
      <c r="AL163">
        <v>384</v>
      </c>
      <c r="AM163">
        <v>48</v>
      </c>
      <c r="AN163" t="s">
        <v>270</v>
      </c>
      <c r="AO163" t="s">
        <v>87</v>
      </c>
      <c r="AP163" t="s">
        <v>525</v>
      </c>
      <c r="AQ163" t="s">
        <v>185</v>
      </c>
      <c r="AR163" t="s">
        <v>530</v>
      </c>
      <c r="AS163" t="s">
        <v>96</v>
      </c>
      <c r="AT163" t="s">
        <v>531</v>
      </c>
      <c r="AU163" t="s">
        <v>380</v>
      </c>
      <c r="AV163" t="s">
        <v>381</v>
      </c>
      <c r="AW163" t="s">
        <v>193</v>
      </c>
      <c r="AX163" t="s">
        <v>193</v>
      </c>
      <c r="AY163" t="s">
        <v>383</v>
      </c>
      <c r="AZ163">
        <v>-6.254382147</v>
      </c>
      <c r="BA163">
        <v>6.301007159</v>
      </c>
      <c r="BB163">
        <v>48</v>
      </c>
      <c r="BC163">
        <v>3.162569193</v>
      </c>
      <c r="BD163">
        <v>5.262966444</v>
      </c>
      <c r="BE163">
        <v>48</v>
      </c>
      <c r="BF163">
        <v>18.27064342</v>
      </c>
      <c r="BG163">
        <v>5.907088342</v>
      </c>
      <c r="BH163">
        <v>48</v>
      </c>
      <c r="BI163">
        <v>20.43339087</v>
      </c>
      <c r="BJ163">
        <v>7.960545946</v>
      </c>
      <c r="BK163">
        <v>48</v>
      </c>
      <c r="BL163"/>
      <c r="BM163"/>
      <c r="BN163"/>
      <c r="BO163"/>
      <c r="BP163"/>
      <c r="BQ163"/>
      <c r="BR163"/>
      <c r="BS163"/>
      <c r="BT163"/>
      <c r="BU163"/>
      <c r="BV163"/>
      <c r="BW163"/>
      <c r="BX163"/>
    </row>
    <row r="164" s="1" customFormat="1" ht="15" customHeight="1" spans="1:76">
      <c r="A164">
        <v>54</v>
      </c>
      <c r="B164">
        <v>171</v>
      </c>
      <c r="C164" t="s">
        <v>520</v>
      </c>
      <c r="D164" t="s">
        <v>521</v>
      </c>
      <c r="E164">
        <v>2020</v>
      </c>
      <c r="F164" t="s">
        <v>522</v>
      </c>
      <c r="G164" t="s">
        <v>523</v>
      </c>
      <c r="H164" t="s">
        <v>198</v>
      </c>
      <c r="I164" t="s">
        <v>373</v>
      </c>
      <c r="J164" t="s">
        <v>96</v>
      </c>
      <c r="K164" t="s">
        <v>9</v>
      </c>
      <c r="L164" t="s">
        <v>374</v>
      </c>
      <c r="M164" t="s">
        <v>375</v>
      </c>
      <c r="N164" t="s">
        <v>376</v>
      </c>
      <c r="O164" t="s">
        <v>112</v>
      </c>
      <c r="P164" t="s">
        <v>149</v>
      </c>
      <c r="Q164" t="s">
        <v>102</v>
      </c>
      <c r="R164" t="s">
        <v>103</v>
      </c>
      <c r="S164" t="s">
        <v>248</v>
      </c>
      <c r="T164">
        <v>2.34</v>
      </c>
      <c r="U164"/>
      <c r="V164"/>
      <c r="W164"/>
      <c r="X164">
        <v>0.002</v>
      </c>
      <c r="Y164"/>
      <c r="Z164">
        <v>18</v>
      </c>
      <c r="AA164"/>
      <c r="AB164" t="s">
        <v>105</v>
      </c>
      <c r="AC164" t="s">
        <v>105</v>
      </c>
      <c r="AD164"/>
      <c r="AE164"/>
      <c r="AF164">
        <v>51.183333</v>
      </c>
      <c r="AG164">
        <v>4.416667</v>
      </c>
      <c r="AH164" t="s">
        <v>524</v>
      </c>
      <c r="AI164">
        <v>134</v>
      </c>
      <c r="AJ164">
        <v>245.52</v>
      </c>
      <c r="AK164" t="s">
        <v>86</v>
      </c>
      <c r="AL164">
        <v>384</v>
      </c>
      <c r="AM164">
        <v>48</v>
      </c>
      <c r="AN164" t="s">
        <v>270</v>
      </c>
      <c r="AO164" t="s">
        <v>87</v>
      </c>
      <c r="AP164" t="s">
        <v>525</v>
      </c>
      <c r="AQ164" t="s">
        <v>185</v>
      </c>
      <c r="AR164" t="s">
        <v>530</v>
      </c>
      <c r="AS164" t="s">
        <v>96</v>
      </c>
      <c r="AT164" t="s">
        <v>531</v>
      </c>
      <c r="AU164" t="s">
        <v>380</v>
      </c>
      <c r="AV164" t="s">
        <v>381</v>
      </c>
      <c r="AW164" t="s">
        <v>119</v>
      </c>
      <c r="AX164" t="s">
        <v>528</v>
      </c>
      <c r="AY164" t="s">
        <v>529</v>
      </c>
      <c r="AZ164">
        <v>-6.254382147</v>
      </c>
      <c r="BA164">
        <v>6.301007159</v>
      </c>
      <c r="BB164">
        <v>48</v>
      </c>
      <c r="BC164">
        <v>3.162569193</v>
      </c>
      <c r="BD164">
        <v>5.262966444</v>
      </c>
      <c r="BE164">
        <v>48</v>
      </c>
      <c r="BF164">
        <v>-19.98450574</v>
      </c>
      <c r="BG164">
        <v>5.748250506</v>
      </c>
      <c r="BH164">
        <v>48</v>
      </c>
      <c r="BI164">
        <v>-18.85646748</v>
      </c>
      <c r="BJ164">
        <v>7.708234399</v>
      </c>
      <c r="BK164">
        <v>48</v>
      </c>
      <c r="BL164"/>
      <c r="BM164"/>
      <c r="BN164"/>
      <c r="BO164"/>
      <c r="BP164"/>
      <c r="BQ164"/>
      <c r="BR164"/>
      <c r="BS164"/>
      <c r="BT164"/>
      <c r="BU164"/>
      <c r="BV164"/>
      <c r="BW164"/>
      <c r="BX164"/>
    </row>
    <row r="165" s="1" customFormat="1" ht="15" customHeight="1" spans="1:76">
      <c r="A165">
        <v>54</v>
      </c>
      <c r="B165">
        <v>172</v>
      </c>
      <c r="C165" t="s">
        <v>520</v>
      </c>
      <c r="D165" t="s">
        <v>521</v>
      </c>
      <c r="E165">
        <v>2020</v>
      </c>
      <c r="F165" t="s">
        <v>522</v>
      </c>
      <c r="G165" t="s">
        <v>523</v>
      </c>
      <c r="H165" t="s">
        <v>198</v>
      </c>
      <c r="I165" t="s">
        <v>373</v>
      </c>
      <c r="J165" t="s">
        <v>96</v>
      </c>
      <c r="K165" t="s">
        <v>9</v>
      </c>
      <c r="L165" t="s">
        <v>374</v>
      </c>
      <c r="M165" t="s">
        <v>375</v>
      </c>
      <c r="N165" t="s">
        <v>376</v>
      </c>
      <c r="O165" t="s">
        <v>112</v>
      </c>
      <c r="P165" t="s">
        <v>149</v>
      </c>
      <c r="Q165" t="s">
        <v>102</v>
      </c>
      <c r="R165" t="s">
        <v>103</v>
      </c>
      <c r="S165" t="s">
        <v>248</v>
      </c>
      <c r="T165">
        <v>2.34</v>
      </c>
      <c r="U165"/>
      <c r="V165"/>
      <c r="W165"/>
      <c r="X165">
        <v>0.002</v>
      </c>
      <c r="Y165"/>
      <c r="Z165">
        <v>18</v>
      </c>
      <c r="AA165"/>
      <c r="AB165" t="s">
        <v>105</v>
      </c>
      <c r="AC165" t="s">
        <v>105</v>
      </c>
      <c r="AD165"/>
      <c r="AE165"/>
      <c r="AF165">
        <v>51.183333</v>
      </c>
      <c r="AG165">
        <v>4.416667</v>
      </c>
      <c r="AH165" t="s">
        <v>524</v>
      </c>
      <c r="AI165">
        <v>134</v>
      </c>
      <c r="AJ165">
        <v>245.52</v>
      </c>
      <c r="AK165" t="s">
        <v>86</v>
      </c>
      <c r="AL165">
        <v>384</v>
      </c>
      <c r="AM165">
        <v>48</v>
      </c>
      <c r="AN165" t="s">
        <v>270</v>
      </c>
      <c r="AO165" t="s">
        <v>87</v>
      </c>
      <c r="AP165" t="s">
        <v>525</v>
      </c>
      <c r="AQ165" t="s">
        <v>185</v>
      </c>
      <c r="AR165" t="s">
        <v>530</v>
      </c>
      <c r="AS165" t="s">
        <v>96</v>
      </c>
      <c r="AT165" t="s">
        <v>531</v>
      </c>
      <c r="AU165" t="s">
        <v>193</v>
      </c>
      <c r="AV165" t="s">
        <v>193</v>
      </c>
      <c r="AW165" t="s">
        <v>119</v>
      </c>
      <c r="AX165" t="s">
        <v>528</v>
      </c>
      <c r="AY165" t="s">
        <v>201</v>
      </c>
      <c r="AZ165">
        <v>-6.254382147</v>
      </c>
      <c r="BA165">
        <v>6.301007159</v>
      </c>
      <c r="BB165">
        <v>48</v>
      </c>
      <c r="BC165">
        <v>18.27064342</v>
      </c>
      <c r="BD165">
        <v>5.907088342</v>
      </c>
      <c r="BE165">
        <v>48</v>
      </c>
      <c r="BF165">
        <v>-19.98450574</v>
      </c>
      <c r="BG165">
        <v>5.748250506</v>
      </c>
      <c r="BH165">
        <v>48</v>
      </c>
      <c r="BI165">
        <v>6.65354935</v>
      </c>
      <c r="BJ165">
        <v>5.488053025</v>
      </c>
      <c r="BK165">
        <v>48</v>
      </c>
      <c r="BL165"/>
      <c r="BM165"/>
      <c r="BN165"/>
      <c r="BO165"/>
      <c r="BP165"/>
      <c r="BQ165"/>
      <c r="BR165"/>
      <c r="BS165"/>
      <c r="BT165"/>
      <c r="BU165"/>
      <c r="BV165"/>
      <c r="BW165"/>
      <c r="BX165"/>
    </row>
    <row r="166" s="1" customFormat="1" ht="15" customHeight="1" spans="1:76">
      <c r="A166">
        <v>55</v>
      </c>
      <c r="B166">
        <v>173</v>
      </c>
      <c r="C166" t="s">
        <v>532</v>
      </c>
      <c r="D166" t="s">
        <v>533</v>
      </c>
      <c r="E166">
        <v>2019</v>
      </c>
      <c r="F166" t="s">
        <v>534</v>
      </c>
      <c r="G166" t="s">
        <v>236</v>
      </c>
      <c r="H166" t="s">
        <v>198</v>
      </c>
      <c r="I166" t="s">
        <v>81</v>
      </c>
      <c r="J166" t="s">
        <v>96</v>
      </c>
      <c r="K166" t="s">
        <v>9</v>
      </c>
      <c r="L166" t="s">
        <v>97</v>
      </c>
      <c r="M166" t="s">
        <v>98</v>
      </c>
      <c r="N166" t="s">
        <v>99</v>
      </c>
      <c r="O166" t="s">
        <v>112</v>
      </c>
      <c r="P166" t="s">
        <v>101</v>
      </c>
      <c r="Q166" t="s">
        <v>102</v>
      </c>
      <c r="R166" t="s">
        <v>103</v>
      </c>
      <c r="S166" t="s">
        <v>104</v>
      </c>
      <c r="T166"/>
      <c r="U166"/>
      <c r="V166"/>
      <c r="W166"/>
      <c r="X166"/>
      <c r="Y166"/>
      <c r="Z166">
        <v>31</v>
      </c>
      <c r="AA166"/>
      <c r="AB166" t="s">
        <v>105</v>
      </c>
      <c r="AC166" t="s">
        <v>105</v>
      </c>
      <c r="AD166"/>
      <c r="AE166"/>
      <c r="AF166">
        <v>32.422977</v>
      </c>
      <c r="AG166">
        <v>-93.638161</v>
      </c>
      <c r="AH166" t="s">
        <v>199</v>
      </c>
      <c r="AI166">
        <v>56</v>
      </c>
      <c r="AJ166">
        <v>0.098</v>
      </c>
      <c r="AK166" t="s">
        <v>115</v>
      </c>
      <c r="AL166">
        <v>78</v>
      </c>
      <c r="AM166">
        <v>3</v>
      </c>
      <c r="AN166" t="s">
        <v>87</v>
      </c>
      <c r="AO166" t="s">
        <v>183</v>
      </c>
      <c r="AP166" t="s">
        <v>220</v>
      </c>
      <c r="AQ166" t="s">
        <v>185</v>
      </c>
      <c r="AR166" t="s">
        <v>186</v>
      </c>
      <c r="AS166" t="s">
        <v>82</v>
      </c>
      <c r="AT166" t="s">
        <v>273</v>
      </c>
      <c r="AU166" t="s">
        <v>230</v>
      </c>
      <c r="AV166" t="s">
        <v>519</v>
      </c>
      <c r="AW166" t="s">
        <v>119</v>
      </c>
      <c r="AX166" t="s">
        <v>175</v>
      </c>
      <c r="AY166" t="s">
        <v>411</v>
      </c>
      <c r="AZ166">
        <v>0.022846154</v>
      </c>
      <c r="BA166">
        <v>0.016920804</v>
      </c>
      <c r="BB166">
        <v>3</v>
      </c>
      <c r="BC166">
        <v>0.001769231</v>
      </c>
      <c r="BD166">
        <v>0.003197632</v>
      </c>
      <c r="BE166">
        <v>3</v>
      </c>
      <c r="BF166">
        <v>0.039846154</v>
      </c>
      <c r="BG166">
        <v>0.015854927</v>
      </c>
      <c r="BH166">
        <v>3</v>
      </c>
      <c r="BI166">
        <v>0.000846154</v>
      </c>
      <c r="BJ166">
        <v>0.002531459</v>
      </c>
      <c r="BK166">
        <v>3</v>
      </c>
      <c r="BL166"/>
      <c r="BM166"/>
      <c r="BN166"/>
      <c r="BO166"/>
      <c r="BP166"/>
      <c r="BQ166"/>
      <c r="BR166"/>
      <c r="BS166"/>
      <c r="BT166"/>
      <c r="BU166"/>
      <c r="BV166"/>
      <c r="BW166"/>
      <c r="BX166"/>
    </row>
    <row r="167" s="1" customFormat="1" ht="15" customHeight="1" spans="1:76">
      <c r="A167">
        <v>55</v>
      </c>
      <c r="B167">
        <v>174</v>
      </c>
      <c r="C167" t="s">
        <v>532</v>
      </c>
      <c r="D167" t="s">
        <v>533</v>
      </c>
      <c r="E167">
        <v>2019</v>
      </c>
      <c r="F167" t="s">
        <v>534</v>
      </c>
      <c r="G167" t="s">
        <v>236</v>
      </c>
      <c r="H167" t="s">
        <v>198</v>
      </c>
      <c r="I167" t="s">
        <v>81</v>
      </c>
      <c r="J167" t="s">
        <v>96</v>
      </c>
      <c r="K167" t="s">
        <v>9</v>
      </c>
      <c r="L167" t="s">
        <v>535</v>
      </c>
      <c r="M167" t="s">
        <v>536</v>
      </c>
      <c r="N167" t="s">
        <v>537</v>
      </c>
      <c r="O167" t="s">
        <v>112</v>
      </c>
      <c r="P167" t="s">
        <v>149</v>
      </c>
      <c r="Q167" t="s">
        <v>102</v>
      </c>
      <c r="R167" t="s">
        <v>103</v>
      </c>
      <c r="S167" t="s">
        <v>104</v>
      </c>
      <c r="T167"/>
      <c r="U167"/>
      <c r="V167"/>
      <c r="W167"/>
      <c r="X167"/>
      <c r="Y167"/>
      <c r="Z167">
        <v>31</v>
      </c>
      <c r="AA167"/>
      <c r="AB167" t="s">
        <v>105</v>
      </c>
      <c r="AC167" t="s">
        <v>105</v>
      </c>
      <c r="AD167"/>
      <c r="AE167"/>
      <c r="AF167">
        <v>32.422977</v>
      </c>
      <c r="AG167">
        <v>-93.638161</v>
      </c>
      <c r="AH167" t="s">
        <v>199</v>
      </c>
      <c r="AI167">
        <v>56</v>
      </c>
      <c r="AJ167">
        <v>0.098</v>
      </c>
      <c r="AK167" t="s">
        <v>115</v>
      </c>
      <c r="AL167">
        <v>78</v>
      </c>
      <c r="AM167">
        <v>3</v>
      </c>
      <c r="AN167" t="s">
        <v>87</v>
      </c>
      <c r="AO167" t="s">
        <v>183</v>
      </c>
      <c r="AP167" t="s">
        <v>220</v>
      </c>
      <c r="AQ167" t="s">
        <v>185</v>
      </c>
      <c r="AR167" t="s">
        <v>186</v>
      </c>
      <c r="AS167" t="s">
        <v>82</v>
      </c>
      <c r="AT167" t="s">
        <v>273</v>
      </c>
      <c r="AU167" t="s">
        <v>230</v>
      </c>
      <c r="AV167" t="s">
        <v>519</v>
      </c>
      <c r="AW167" t="s">
        <v>119</v>
      </c>
      <c r="AX167" t="s">
        <v>175</v>
      </c>
      <c r="AY167" t="s">
        <v>411</v>
      </c>
      <c r="AZ167">
        <v>0.006824645</v>
      </c>
      <c r="BA167">
        <v>0.016964795</v>
      </c>
      <c r="BB167">
        <v>3</v>
      </c>
      <c r="BC167">
        <v>0.004739336</v>
      </c>
      <c r="BD167">
        <v>0.006676468</v>
      </c>
      <c r="BE167">
        <v>3</v>
      </c>
      <c r="BF167">
        <v>0.012448657</v>
      </c>
      <c r="BG167">
        <v>0.016964795</v>
      </c>
      <c r="BH167">
        <v>3</v>
      </c>
      <c r="BI167">
        <v>0.002843602</v>
      </c>
      <c r="BJ167">
        <v>0.01149228</v>
      </c>
      <c r="BK167">
        <v>3</v>
      </c>
      <c r="BL167"/>
      <c r="BM167"/>
      <c r="BN167"/>
      <c r="BO167"/>
      <c r="BP167"/>
      <c r="BQ167"/>
      <c r="BR167"/>
      <c r="BS167"/>
      <c r="BT167"/>
      <c r="BU167"/>
      <c r="BV167"/>
      <c r="BW167"/>
      <c r="BX167"/>
    </row>
    <row r="168" s="1" customFormat="1" ht="15" customHeight="1" spans="1:76">
      <c r="A168">
        <v>56</v>
      </c>
      <c r="B168">
        <v>175</v>
      </c>
      <c r="C168" t="s">
        <v>538</v>
      </c>
      <c r="D168" t="s">
        <v>539</v>
      </c>
      <c r="E168">
        <v>2017</v>
      </c>
      <c r="F168" t="s">
        <v>540</v>
      </c>
      <c r="G168" t="s">
        <v>236</v>
      </c>
      <c r="H168" t="s">
        <v>198</v>
      </c>
      <c r="I168" t="s">
        <v>541</v>
      </c>
      <c r="J168" t="s">
        <v>96</v>
      </c>
      <c r="K168" t="s">
        <v>9</v>
      </c>
      <c r="L168" t="s">
        <v>542</v>
      </c>
      <c r="M168" t="s">
        <v>543</v>
      </c>
      <c r="N168" t="s">
        <v>544</v>
      </c>
      <c r="O168" t="s">
        <v>112</v>
      </c>
      <c r="P168" t="s">
        <v>149</v>
      </c>
      <c r="Q168" t="s">
        <v>210</v>
      </c>
      <c r="R168" t="s">
        <v>129</v>
      </c>
      <c r="S168" t="s">
        <v>104</v>
      </c>
      <c r="T168"/>
      <c r="U168"/>
      <c r="V168"/>
      <c r="W168"/>
      <c r="X168"/>
      <c r="Y168"/>
      <c r="Z168">
        <v>23</v>
      </c>
      <c r="AA168">
        <v>4</v>
      </c>
      <c r="AB168" t="s">
        <v>105</v>
      </c>
      <c r="AC168" t="s">
        <v>105</v>
      </c>
      <c r="AD168"/>
      <c r="AE168"/>
      <c r="AF168">
        <v>39.47922</v>
      </c>
      <c r="AG168">
        <v>-0.36425</v>
      </c>
      <c r="AH168"/>
      <c r="AI168">
        <v>16</v>
      </c>
      <c r="AJ168"/>
      <c r="AK168"/>
      <c r="AL168">
        <v>72</v>
      </c>
      <c r="AM168">
        <v>6</v>
      </c>
      <c r="AN168"/>
      <c r="AO168"/>
      <c r="AP168"/>
      <c r="AQ168" t="s">
        <v>89</v>
      </c>
      <c r="AR168" t="s">
        <v>186</v>
      </c>
      <c r="AS168" t="s">
        <v>96</v>
      </c>
      <c r="AT168" t="s">
        <v>273</v>
      </c>
      <c r="AU168" t="s">
        <v>221</v>
      </c>
      <c r="AV168" t="s">
        <v>409</v>
      </c>
      <c r="AW168" t="s">
        <v>230</v>
      </c>
      <c r="AX168" t="s">
        <v>519</v>
      </c>
      <c r="AY168" t="s">
        <v>410</v>
      </c>
      <c r="AZ168">
        <v>0.0362356792144026</v>
      </c>
      <c r="BA168">
        <f>(0.0458592471358428-0.0362356792144026)*(6^(1/2))</f>
        <v>0.023572830912545</v>
      </c>
      <c r="BB168">
        <v>6</v>
      </c>
      <c r="BC168">
        <v>0.0974140752864157</v>
      </c>
      <c r="BD168">
        <f>(0.106252045826513-0.0974140752864157)*(6^(1/2))</f>
        <v>0.0216485181849882</v>
      </c>
      <c r="BE168">
        <v>6</v>
      </c>
      <c r="BF168">
        <v>0.0707037643207856</v>
      </c>
      <c r="BG168">
        <f>(0.0763993453355155-0.0707037643207856)*(6^(1/2))</f>
        <v>0.0139512672747715</v>
      </c>
      <c r="BH168">
        <v>6</v>
      </c>
      <c r="BI168">
        <v>0.0568576104746317</v>
      </c>
      <c r="BJ168">
        <f>(0.0654991816693944-0.0568576104746317)*(6^(1/2))</f>
        <v>0.0211674400031018</v>
      </c>
      <c r="BK168">
        <v>6</v>
      </c>
      <c r="BL168"/>
      <c r="BM168"/>
      <c r="BN168"/>
      <c r="BO168"/>
      <c r="BP168"/>
      <c r="BQ168"/>
      <c r="BR168"/>
      <c r="BS168"/>
      <c r="BT168"/>
      <c r="BU168"/>
      <c r="BV168"/>
      <c r="BW168"/>
      <c r="BX168"/>
    </row>
    <row r="169" s="1" customFormat="1" ht="15" customHeight="1" spans="1:76">
      <c r="A169">
        <v>55</v>
      </c>
      <c r="B169">
        <v>176</v>
      </c>
      <c r="C169" t="s">
        <v>532</v>
      </c>
      <c r="D169" t="s">
        <v>533</v>
      </c>
      <c r="E169">
        <v>2019</v>
      </c>
      <c r="F169" t="s">
        <v>534</v>
      </c>
      <c r="G169" t="s">
        <v>236</v>
      </c>
      <c r="H169" t="s">
        <v>198</v>
      </c>
      <c r="I169" t="s">
        <v>81</v>
      </c>
      <c r="J169" t="s">
        <v>96</v>
      </c>
      <c r="K169" t="s">
        <v>9</v>
      </c>
      <c r="L169" t="s">
        <v>97</v>
      </c>
      <c r="M169" t="s">
        <v>98</v>
      </c>
      <c r="N169" t="s">
        <v>99</v>
      </c>
      <c r="O169" t="s">
        <v>112</v>
      </c>
      <c r="P169" t="s">
        <v>101</v>
      </c>
      <c r="Q169" t="s">
        <v>102</v>
      </c>
      <c r="R169" t="s">
        <v>103</v>
      </c>
      <c r="S169" t="s">
        <v>104</v>
      </c>
      <c r="T169"/>
      <c r="U169"/>
      <c r="V169"/>
      <c r="W169"/>
      <c r="X169"/>
      <c r="Y169"/>
      <c r="Z169">
        <v>31</v>
      </c>
      <c r="AA169"/>
      <c r="AB169" t="s">
        <v>105</v>
      </c>
      <c r="AC169" t="s">
        <v>105</v>
      </c>
      <c r="AD169"/>
      <c r="AE169"/>
      <c r="AF169">
        <v>32.422977</v>
      </c>
      <c r="AG169">
        <v>-93.638161</v>
      </c>
      <c r="AH169" t="s">
        <v>199</v>
      </c>
      <c r="AI169">
        <v>56</v>
      </c>
      <c r="AJ169">
        <v>0.098</v>
      </c>
      <c r="AK169" t="s">
        <v>115</v>
      </c>
      <c r="AL169">
        <v>78</v>
      </c>
      <c r="AM169">
        <v>3</v>
      </c>
      <c r="AN169" t="s">
        <v>87</v>
      </c>
      <c r="AO169" t="s">
        <v>183</v>
      </c>
      <c r="AP169" t="s">
        <v>220</v>
      </c>
      <c r="AQ169" t="s">
        <v>185</v>
      </c>
      <c r="AR169" t="s">
        <v>186</v>
      </c>
      <c r="AS169" t="s">
        <v>96</v>
      </c>
      <c r="AT169" t="s">
        <v>545</v>
      </c>
      <c r="AU169" t="s">
        <v>230</v>
      </c>
      <c r="AV169" t="s">
        <v>546</v>
      </c>
      <c r="AW169" t="s">
        <v>93</v>
      </c>
      <c r="AX169" t="s">
        <v>121</v>
      </c>
      <c r="AY169" t="s">
        <v>95</v>
      </c>
      <c r="AZ169">
        <v>0.022967245</v>
      </c>
      <c r="BA169">
        <v>0.017086898</v>
      </c>
      <c r="BB169">
        <v>3</v>
      </c>
      <c r="BC169">
        <v>0.001926782</v>
      </c>
      <c r="BD169">
        <v>0.003203793</v>
      </c>
      <c r="BE169">
        <v>3</v>
      </c>
      <c r="BF169">
        <v>0.397674419</v>
      </c>
      <c r="BG169">
        <v>0.277933734</v>
      </c>
      <c r="BH169">
        <v>3</v>
      </c>
      <c r="BI169">
        <v>0.854651163</v>
      </c>
      <c r="BJ169">
        <v>0.993915202</v>
      </c>
      <c r="BK169">
        <v>3</v>
      </c>
      <c r="BL169"/>
      <c r="BM169"/>
      <c r="BN169"/>
      <c r="BO169"/>
      <c r="BP169"/>
      <c r="BQ169"/>
      <c r="BR169"/>
      <c r="BS169"/>
      <c r="BT169"/>
      <c r="BU169"/>
      <c r="BV169"/>
      <c r="BW169"/>
      <c r="BX169"/>
    </row>
    <row r="170" s="1" customFormat="1" ht="15" customHeight="1" spans="1:76">
      <c r="A170">
        <v>55</v>
      </c>
      <c r="B170">
        <v>177</v>
      </c>
      <c r="C170" t="s">
        <v>532</v>
      </c>
      <c r="D170" t="s">
        <v>533</v>
      </c>
      <c r="E170">
        <v>2019</v>
      </c>
      <c r="F170" t="s">
        <v>534</v>
      </c>
      <c r="G170" t="s">
        <v>236</v>
      </c>
      <c r="H170" t="s">
        <v>198</v>
      </c>
      <c r="I170" t="s">
        <v>81</v>
      </c>
      <c r="J170" t="s">
        <v>96</v>
      </c>
      <c r="K170" t="s">
        <v>9</v>
      </c>
      <c r="L170" t="s">
        <v>535</v>
      </c>
      <c r="M170" t="s">
        <v>536</v>
      </c>
      <c r="N170" t="s">
        <v>537</v>
      </c>
      <c r="O170" t="s">
        <v>112</v>
      </c>
      <c r="P170" t="s">
        <v>149</v>
      </c>
      <c r="Q170" t="s">
        <v>102</v>
      </c>
      <c r="R170" t="s">
        <v>103</v>
      </c>
      <c r="S170" t="s">
        <v>104</v>
      </c>
      <c r="T170"/>
      <c r="U170"/>
      <c r="V170"/>
      <c r="W170"/>
      <c r="X170"/>
      <c r="Y170"/>
      <c r="Z170">
        <v>31</v>
      </c>
      <c r="AA170"/>
      <c r="AB170" t="s">
        <v>105</v>
      </c>
      <c r="AC170" t="s">
        <v>105</v>
      </c>
      <c r="AD170"/>
      <c r="AE170"/>
      <c r="AF170">
        <v>32.422977</v>
      </c>
      <c r="AG170">
        <v>-93.638161</v>
      </c>
      <c r="AH170" t="s">
        <v>199</v>
      </c>
      <c r="AI170">
        <v>56</v>
      </c>
      <c r="AJ170">
        <v>0.098</v>
      </c>
      <c r="AK170" t="s">
        <v>115</v>
      </c>
      <c r="AL170">
        <v>78</v>
      </c>
      <c r="AM170">
        <v>3</v>
      </c>
      <c r="AN170" t="s">
        <v>87</v>
      </c>
      <c r="AO170" t="s">
        <v>183</v>
      </c>
      <c r="AP170" t="s">
        <v>220</v>
      </c>
      <c r="AQ170" t="s">
        <v>185</v>
      </c>
      <c r="AR170" t="s">
        <v>186</v>
      </c>
      <c r="AS170" t="s">
        <v>96</v>
      </c>
      <c r="AT170" t="s">
        <v>545</v>
      </c>
      <c r="AU170" t="s">
        <v>230</v>
      </c>
      <c r="AV170" t="s">
        <v>546</v>
      </c>
      <c r="AW170" t="s">
        <v>93</v>
      </c>
      <c r="AX170" t="s">
        <v>121</v>
      </c>
      <c r="AY170" t="s">
        <v>95</v>
      </c>
      <c r="AZ170">
        <v>0.006772152</v>
      </c>
      <c r="BA170">
        <v>0.017210885</v>
      </c>
      <c r="BB170">
        <v>3</v>
      </c>
      <c r="BC170">
        <v>0.004683544</v>
      </c>
      <c r="BD170">
        <v>0.006687032</v>
      </c>
      <c r="BE170">
        <v>3</v>
      </c>
      <c r="BF170">
        <v>1.162135922</v>
      </c>
      <c r="BG170">
        <v>1.77678144</v>
      </c>
      <c r="BH170">
        <v>3</v>
      </c>
      <c r="BI170">
        <v>1.076504854</v>
      </c>
      <c r="BJ170">
        <v>1.540684417</v>
      </c>
      <c r="BK170">
        <v>3</v>
      </c>
      <c r="BL170"/>
      <c r="BM170"/>
      <c r="BN170"/>
      <c r="BO170"/>
      <c r="BP170"/>
      <c r="BQ170"/>
      <c r="BR170"/>
      <c r="BS170"/>
      <c r="BT170"/>
      <c r="BU170"/>
      <c r="BV170"/>
      <c r="BW170"/>
      <c r="BX170"/>
    </row>
    <row r="171" s="1" customFormat="1" ht="15" customHeight="1" spans="1:76">
      <c r="A171">
        <v>55</v>
      </c>
      <c r="B171">
        <v>178</v>
      </c>
      <c r="C171" t="s">
        <v>532</v>
      </c>
      <c r="D171" t="s">
        <v>533</v>
      </c>
      <c r="E171">
        <v>2019</v>
      </c>
      <c r="F171" t="s">
        <v>534</v>
      </c>
      <c r="G171" t="s">
        <v>236</v>
      </c>
      <c r="H171" t="s">
        <v>198</v>
      </c>
      <c r="I171" t="s">
        <v>81</v>
      </c>
      <c r="J171" t="s">
        <v>96</v>
      </c>
      <c r="K171" t="s">
        <v>9</v>
      </c>
      <c r="L171" t="s">
        <v>97</v>
      </c>
      <c r="M171" t="s">
        <v>98</v>
      </c>
      <c r="N171" t="s">
        <v>99</v>
      </c>
      <c r="O171" t="s">
        <v>112</v>
      </c>
      <c r="P171" t="s">
        <v>101</v>
      </c>
      <c r="Q171" t="s">
        <v>102</v>
      </c>
      <c r="R171" t="s">
        <v>103</v>
      </c>
      <c r="S171" t="s">
        <v>104</v>
      </c>
      <c r="T171"/>
      <c r="U171"/>
      <c r="V171"/>
      <c r="W171"/>
      <c r="X171"/>
      <c r="Y171"/>
      <c r="Z171">
        <v>31</v>
      </c>
      <c r="AA171"/>
      <c r="AB171" t="s">
        <v>105</v>
      </c>
      <c r="AC171" t="s">
        <v>105</v>
      </c>
      <c r="AD171"/>
      <c r="AE171"/>
      <c r="AF171">
        <v>32.422977</v>
      </c>
      <c r="AG171">
        <v>-93.638161</v>
      </c>
      <c r="AH171" t="s">
        <v>199</v>
      </c>
      <c r="AI171">
        <v>56</v>
      </c>
      <c r="AJ171">
        <v>0.098</v>
      </c>
      <c r="AK171" t="s">
        <v>115</v>
      </c>
      <c r="AL171">
        <v>78</v>
      </c>
      <c r="AM171">
        <v>3</v>
      </c>
      <c r="AN171" t="s">
        <v>87</v>
      </c>
      <c r="AO171" t="s">
        <v>183</v>
      </c>
      <c r="AP171" t="s">
        <v>220</v>
      </c>
      <c r="AQ171" t="s">
        <v>185</v>
      </c>
      <c r="AR171" t="s">
        <v>186</v>
      </c>
      <c r="AS171" t="s">
        <v>96</v>
      </c>
      <c r="AT171" t="s">
        <v>545</v>
      </c>
      <c r="AU171" t="s">
        <v>119</v>
      </c>
      <c r="AV171" t="s">
        <v>547</v>
      </c>
      <c r="AW171" t="s">
        <v>93</v>
      </c>
      <c r="AX171" t="s">
        <v>121</v>
      </c>
      <c r="AY171" t="s">
        <v>95</v>
      </c>
      <c r="AZ171">
        <v>0.022857143</v>
      </c>
      <c r="BA171">
        <v>0.016986135</v>
      </c>
      <c r="BB171">
        <v>3</v>
      </c>
      <c r="BC171">
        <v>0.04</v>
      </c>
      <c r="BD171">
        <v>0.015782393</v>
      </c>
      <c r="BE171">
        <v>3</v>
      </c>
      <c r="BF171">
        <v>0.394422311</v>
      </c>
      <c r="BG171">
        <v>0.279474333</v>
      </c>
      <c r="BH171">
        <v>3</v>
      </c>
      <c r="BI171">
        <v>0.711627907</v>
      </c>
      <c r="BJ171">
        <v>1.409108271</v>
      </c>
      <c r="BK171">
        <v>3</v>
      </c>
      <c r="BL171"/>
      <c r="BM171"/>
      <c r="BN171"/>
      <c r="BO171"/>
      <c r="BP171"/>
      <c r="BQ171"/>
      <c r="BR171"/>
      <c r="BS171"/>
      <c r="BT171"/>
      <c r="BU171"/>
      <c r="BV171"/>
      <c r="BW171"/>
      <c r="BX171"/>
    </row>
    <row r="172" s="1" customFormat="1" ht="15" customHeight="1" spans="1:76">
      <c r="A172">
        <v>55</v>
      </c>
      <c r="B172">
        <v>179</v>
      </c>
      <c r="C172" t="s">
        <v>532</v>
      </c>
      <c r="D172" t="s">
        <v>533</v>
      </c>
      <c r="E172">
        <v>2019</v>
      </c>
      <c r="F172" t="s">
        <v>534</v>
      </c>
      <c r="G172" t="s">
        <v>236</v>
      </c>
      <c r="H172" t="s">
        <v>198</v>
      </c>
      <c r="I172" t="s">
        <v>81</v>
      </c>
      <c r="J172" t="s">
        <v>96</v>
      </c>
      <c r="K172" t="s">
        <v>9</v>
      </c>
      <c r="L172" t="s">
        <v>535</v>
      </c>
      <c r="M172" t="s">
        <v>536</v>
      </c>
      <c r="N172" t="s">
        <v>537</v>
      </c>
      <c r="O172" t="s">
        <v>112</v>
      </c>
      <c r="P172" t="s">
        <v>149</v>
      </c>
      <c r="Q172" t="s">
        <v>102</v>
      </c>
      <c r="R172" t="s">
        <v>103</v>
      </c>
      <c r="S172" t="s">
        <v>104</v>
      </c>
      <c r="T172"/>
      <c r="U172"/>
      <c r="V172"/>
      <c r="W172"/>
      <c r="X172"/>
      <c r="Y172"/>
      <c r="Z172">
        <v>31</v>
      </c>
      <c r="AA172"/>
      <c r="AB172" t="s">
        <v>105</v>
      </c>
      <c r="AC172" t="s">
        <v>105</v>
      </c>
      <c r="AD172"/>
      <c r="AE172"/>
      <c r="AF172">
        <v>32.422977</v>
      </c>
      <c r="AG172">
        <v>-93.638161</v>
      </c>
      <c r="AH172" t="s">
        <v>199</v>
      </c>
      <c r="AI172">
        <v>56</v>
      </c>
      <c r="AJ172">
        <v>0.098</v>
      </c>
      <c r="AK172" t="s">
        <v>115</v>
      </c>
      <c r="AL172">
        <v>78</v>
      </c>
      <c r="AM172">
        <v>3</v>
      </c>
      <c r="AN172" t="s">
        <v>87</v>
      </c>
      <c r="AO172" t="s">
        <v>183</v>
      </c>
      <c r="AP172" t="s">
        <v>220</v>
      </c>
      <c r="AQ172" t="s">
        <v>185</v>
      </c>
      <c r="AR172" t="s">
        <v>186</v>
      </c>
      <c r="AS172" t="s">
        <v>96</v>
      </c>
      <c r="AT172" t="s">
        <v>545</v>
      </c>
      <c r="AU172" t="s">
        <v>119</v>
      </c>
      <c r="AV172" t="s">
        <v>547</v>
      </c>
      <c r="AW172" t="s">
        <v>93</v>
      </c>
      <c r="AX172" t="s">
        <v>121</v>
      </c>
      <c r="AY172" t="s">
        <v>95</v>
      </c>
      <c r="AZ172">
        <v>0.005468354</v>
      </c>
      <c r="BA172">
        <v>0.013681009</v>
      </c>
      <c r="BB172">
        <v>3</v>
      </c>
      <c r="BC172">
        <v>0.010025316</v>
      </c>
      <c r="BD172">
        <v>0.013681009</v>
      </c>
      <c r="BE172">
        <v>3</v>
      </c>
      <c r="BF172">
        <v>1.161866931</v>
      </c>
      <c r="BG172">
        <v>1.777115089</v>
      </c>
      <c r="BH172">
        <v>3</v>
      </c>
      <c r="BI172">
        <v>0.561818182</v>
      </c>
      <c r="BJ172">
        <v>0.818787654</v>
      </c>
      <c r="BK172">
        <v>3</v>
      </c>
      <c r="BL172"/>
      <c r="BM172"/>
      <c r="BN172"/>
      <c r="BO172"/>
      <c r="BP172"/>
      <c r="BQ172"/>
      <c r="BR172"/>
      <c r="BS172"/>
      <c r="BT172"/>
      <c r="BU172"/>
      <c r="BV172"/>
      <c r="BW172"/>
      <c r="BX172"/>
    </row>
    <row r="173" s="1" customFormat="1" ht="15" customHeight="1" spans="1:76">
      <c r="A173">
        <v>56</v>
      </c>
      <c r="B173">
        <v>180</v>
      </c>
      <c r="C173" t="s">
        <v>538</v>
      </c>
      <c r="D173" t="s">
        <v>539</v>
      </c>
      <c r="E173">
        <v>2017</v>
      </c>
      <c r="F173" t="s">
        <v>540</v>
      </c>
      <c r="G173" t="s">
        <v>236</v>
      </c>
      <c r="H173" t="s">
        <v>198</v>
      </c>
      <c r="I173" t="s">
        <v>541</v>
      </c>
      <c r="J173" t="s">
        <v>96</v>
      </c>
      <c r="K173" t="s">
        <v>9</v>
      </c>
      <c r="L173" t="s">
        <v>542</v>
      </c>
      <c r="M173" t="s">
        <v>543</v>
      </c>
      <c r="N173" t="s">
        <v>548</v>
      </c>
      <c r="O173" t="s">
        <v>112</v>
      </c>
      <c r="P173" t="s">
        <v>149</v>
      </c>
      <c r="Q173" t="s">
        <v>210</v>
      </c>
      <c r="R173" t="s">
        <v>129</v>
      </c>
      <c r="S173" t="s">
        <v>104</v>
      </c>
      <c r="T173"/>
      <c r="U173"/>
      <c r="V173"/>
      <c r="W173"/>
      <c r="X173"/>
      <c r="Y173"/>
      <c r="Z173">
        <v>23</v>
      </c>
      <c r="AA173">
        <v>4</v>
      </c>
      <c r="AB173" t="s">
        <v>105</v>
      </c>
      <c r="AC173" t="s">
        <v>105</v>
      </c>
      <c r="AD173"/>
      <c r="AE173"/>
      <c r="AF173">
        <v>39.47922</v>
      </c>
      <c r="AG173">
        <v>-0.36425</v>
      </c>
      <c r="AH173"/>
      <c r="AI173">
        <v>16</v>
      </c>
      <c r="AJ173"/>
      <c r="AK173"/>
      <c r="AL173">
        <v>72</v>
      </c>
      <c r="AM173">
        <v>6</v>
      </c>
      <c r="AN173"/>
      <c r="AO173"/>
      <c r="AP173"/>
      <c r="AQ173" t="s">
        <v>89</v>
      </c>
      <c r="AR173" t="s">
        <v>186</v>
      </c>
      <c r="AS173" t="s">
        <v>96</v>
      </c>
      <c r="AT173" t="s">
        <v>273</v>
      </c>
      <c r="AU173" t="s">
        <v>221</v>
      </c>
      <c r="AV173" t="s">
        <v>409</v>
      </c>
      <c r="AW173" t="s">
        <v>230</v>
      </c>
      <c r="AX173" t="s">
        <v>519</v>
      </c>
      <c r="AY173" t="s">
        <v>410</v>
      </c>
      <c r="AZ173">
        <v>0.0603463992707383</v>
      </c>
      <c r="BA173">
        <f>(0.0719234275296262-0.0603463992707383)*(6^(1/2))</f>
        <v>0.0283578119720569</v>
      </c>
      <c r="BB173">
        <v>6</v>
      </c>
      <c r="BC173">
        <v>0.0867821330902461</v>
      </c>
      <c r="BD173">
        <f>(0.0963536918869644-0.0867821330902461)*(6^(1/2))</f>
        <v>0.0234454350950076</v>
      </c>
      <c r="BE173">
        <v>6</v>
      </c>
      <c r="BF173">
        <v>0.0515041020966271</v>
      </c>
      <c r="BG173">
        <f>(0.0608933454876937-0.0515041020966271)*(6^(1/2))</f>
        <v>0.0229988553789124</v>
      </c>
      <c r="BH173">
        <v>6</v>
      </c>
      <c r="BI173">
        <v>0.0387420237010027</v>
      </c>
      <c r="BJ173">
        <f>(0.0479489516864174-0.0387420237010027)*(6^(1/2))</f>
        <v>0.0225522756628167</v>
      </c>
      <c r="BK173">
        <v>6</v>
      </c>
      <c r="BL173"/>
      <c r="BM173"/>
      <c r="BN173"/>
      <c r="BO173"/>
      <c r="BP173"/>
      <c r="BQ173"/>
      <c r="BR173"/>
      <c r="BS173"/>
      <c r="BT173"/>
      <c r="BU173"/>
      <c r="BV173"/>
      <c r="BW173"/>
      <c r="BX173"/>
    </row>
    <row r="174" s="1" customFormat="1" ht="15" customHeight="1" spans="1:76">
      <c r="A174">
        <v>56</v>
      </c>
      <c r="B174">
        <v>181</v>
      </c>
      <c r="C174" t="s">
        <v>538</v>
      </c>
      <c r="D174" t="s">
        <v>539</v>
      </c>
      <c r="E174">
        <v>2017</v>
      </c>
      <c r="F174" t="s">
        <v>540</v>
      </c>
      <c r="G174" t="s">
        <v>236</v>
      </c>
      <c r="H174" t="s">
        <v>198</v>
      </c>
      <c r="I174" t="s">
        <v>541</v>
      </c>
      <c r="J174" t="s">
        <v>96</v>
      </c>
      <c r="K174" t="s">
        <v>9</v>
      </c>
      <c r="L174" t="s">
        <v>542</v>
      </c>
      <c r="M174" t="s">
        <v>543</v>
      </c>
      <c r="N174" t="s">
        <v>549</v>
      </c>
      <c r="O174" t="s">
        <v>112</v>
      </c>
      <c r="P174" t="s">
        <v>149</v>
      </c>
      <c r="Q174" t="s">
        <v>210</v>
      </c>
      <c r="R174" t="s">
        <v>129</v>
      </c>
      <c r="S174" t="s">
        <v>104</v>
      </c>
      <c r="T174"/>
      <c r="U174"/>
      <c r="V174"/>
      <c r="W174"/>
      <c r="X174"/>
      <c r="Y174"/>
      <c r="Z174">
        <v>23</v>
      </c>
      <c r="AA174">
        <v>4</v>
      </c>
      <c r="AB174" t="s">
        <v>105</v>
      </c>
      <c r="AC174" t="s">
        <v>105</v>
      </c>
      <c r="AD174"/>
      <c r="AE174"/>
      <c r="AF174">
        <v>39.47922</v>
      </c>
      <c r="AG174">
        <v>-0.36425</v>
      </c>
      <c r="AH174"/>
      <c r="AI174">
        <v>16</v>
      </c>
      <c r="AJ174"/>
      <c r="AK174"/>
      <c r="AL174">
        <v>72</v>
      </c>
      <c r="AM174">
        <v>6</v>
      </c>
      <c r="AN174"/>
      <c r="AO174"/>
      <c r="AP174"/>
      <c r="AQ174" t="s">
        <v>89</v>
      </c>
      <c r="AR174" t="s">
        <v>186</v>
      </c>
      <c r="AS174" t="s">
        <v>96</v>
      </c>
      <c r="AT174" t="s">
        <v>273</v>
      </c>
      <c r="AU174" t="s">
        <v>221</v>
      </c>
      <c r="AV174" t="s">
        <v>409</v>
      </c>
      <c r="AW174" t="s">
        <v>230</v>
      </c>
      <c r="AX174" t="s">
        <v>519</v>
      </c>
      <c r="AY174" t="s">
        <v>410</v>
      </c>
      <c r="AZ174">
        <v>0.0928759894459103</v>
      </c>
      <c r="BA174">
        <f>(0.103605980650835-0.0928759894459103)*(6^(1/2))</f>
        <v>0.0262830033966168</v>
      </c>
      <c r="BB174">
        <v>6</v>
      </c>
      <c r="BC174">
        <v>0.188038698328935</v>
      </c>
      <c r="BD174">
        <f>(0.197361477572559-0.188038698328935)*(6^(1/2))</f>
        <v>0.0228360521314889</v>
      </c>
      <c r="BE174">
        <v>6</v>
      </c>
      <c r="BF174">
        <v>0.00105540897097624</v>
      </c>
      <c r="BG174">
        <f>(0.00861917326297273-0.00105540897097624)*(6^(1/2))</f>
        <v>0.0185273630500751</v>
      </c>
      <c r="BH174">
        <v>6</v>
      </c>
      <c r="BI174">
        <v>0.139138082673702</v>
      </c>
      <c r="BJ174">
        <f>(0.148636763412489-0.139138082673702)*(6^(1/2))</f>
        <v>0.0232669210396309</v>
      </c>
      <c r="BK174">
        <v>6</v>
      </c>
      <c r="BL174"/>
      <c r="BM174"/>
      <c r="BN174"/>
      <c r="BO174"/>
      <c r="BP174"/>
      <c r="BQ174"/>
      <c r="BR174"/>
      <c r="BS174"/>
      <c r="BT174"/>
      <c r="BU174"/>
      <c r="BV174"/>
      <c r="BW174"/>
      <c r="BX174"/>
    </row>
    <row r="175" s="1" customFormat="1" ht="15" customHeight="1" spans="1:76">
      <c r="A175">
        <v>56</v>
      </c>
      <c r="B175">
        <v>182</v>
      </c>
      <c r="C175" t="s">
        <v>538</v>
      </c>
      <c r="D175" t="s">
        <v>539</v>
      </c>
      <c r="E175">
        <v>2017</v>
      </c>
      <c r="F175" t="s">
        <v>540</v>
      </c>
      <c r="G175" t="s">
        <v>236</v>
      </c>
      <c r="H175" t="s">
        <v>198</v>
      </c>
      <c r="I175" t="s">
        <v>541</v>
      </c>
      <c r="J175" t="s">
        <v>96</v>
      </c>
      <c r="K175" t="s">
        <v>9</v>
      </c>
      <c r="L175" t="s">
        <v>542</v>
      </c>
      <c r="M175" t="s">
        <v>543</v>
      </c>
      <c r="N175" t="s">
        <v>544</v>
      </c>
      <c r="O175" t="s">
        <v>112</v>
      </c>
      <c r="P175" t="s">
        <v>149</v>
      </c>
      <c r="Q175" t="s">
        <v>210</v>
      </c>
      <c r="R175" t="s">
        <v>129</v>
      </c>
      <c r="S175" t="s">
        <v>104</v>
      </c>
      <c r="T175"/>
      <c r="U175"/>
      <c r="V175"/>
      <c r="W175"/>
      <c r="X175"/>
      <c r="Y175"/>
      <c r="Z175">
        <v>23</v>
      </c>
      <c r="AA175">
        <v>4</v>
      </c>
      <c r="AB175" t="s">
        <v>105</v>
      </c>
      <c r="AC175" t="s">
        <v>105</v>
      </c>
      <c r="AD175"/>
      <c r="AE175"/>
      <c r="AF175">
        <v>39.47922</v>
      </c>
      <c r="AG175">
        <v>-0.36425</v>
      </c>
      <c r="AH175"/>
      <c r="AI175">
        <v>16</v>
      </c>
      <c r="AJ175"/>
      <c r="AK175"/>
      <c r="AL175">
        <v>72</v>
      </c>
      <c r="AM175">
        <v>6</v>
      </c>
      <c r="AN175"/>
      <c r="AO175"/>
      <c r="AP175"/>
      <c r="AQ175" t="s">
        <v>185</v>
      </c>
      <c r="AR175" t="s">
        <v>186</v>
      </c>
      <c r="AS175" t="s">
        <v>96</v>
      </c>
      <c r="AT175" t="s">
        <v>545</v>
      </c>
      <c r="AU175" t="s">
        <v>221</v>
      </c>
      <c r="AV175" t="s">
        <v>409</v>
      </c>
      <c r="AW175" t="s">
        <v>230</v>
      </c>
      <c r="AX175" t="s">
        <v>519</v>
      </c>
      <c r="AY175" t="s">
        <v>410</v>
      </c>
      <c r="AZ175">
        <v>0.036078431</v>
      </c>
      <c r="BA175">
        <v>0.023054021</v>
      </c>
      <c r="BB175">
        <v>6</v>
      </c>
      <c r="BC175">
        <v>0.097647059</v>
      </c>
      <c r="BD175">
        <v>0.022093437</v>
      </c>
      <c r="BE175">
        <v>6</v>
      </c>
      <c r="BF175">
        <v>0.070980392</v>
      </c>
      <c r="BG175">
        <v>0.013928471</v>
      </c>
      <c r="BH175">
        <v>6</v>
      </c>
      <c r="BI175">
        <v>0.057058824</v>
      </c>
      <c r="BJ175">
        <v>0.021613145</v>
      </c>
      <c r="BK175">
        <v>6</v>
      </c>
      <c r="BL175"/>
      <c r="BM175"/>
      <c r="BN175"/>
      <c r="BO175"/>
      <c r="BP175"/>
      <c r="BQ175"/>
      <c r="BR175"/>
      <c r="BS175"/>
      <c r="BT175"/>
      <c r="BU175"/>
      <c r="BV175"/>
      <c r="BW175"/>
      <c r="BX175"/>
    </row>
    <row r="176" s="1" customFormat="1" ht="15" customHeight="1" spans="1:76">
      <c r="A176">
        <v>56</v>
      </c>
      <c r="B176">
        <v>183</v>
      </c>
      <c r="C176" t="s">
        <v>538</v>
      </c>
      <c r="D176" t="s">
        <v>539</v>
      </c>
      <c r="E176">
        <v>2017</v>
      </c>
      <c r="F176" t="s">
        <v>540</v>
      </c>
      <c r="G176" t="s">
        <v>236</v>
      </c>
      <c r="H176" t="s">
        <v>198</v>
      </c>
      <c r="I176" t="s">
        <v>541</v>
      </c>
      <c r="J176" t="s">
        <v>96</v>
      </c>
      <c r="K176" t="s">
        <v>9</v>
      </c>
      <c r="L176" t="s">
        <v>542</v>
      </c>
      <c r="M176" t="s">
        <v>543</v>
      </c>
      <c r="N176" t="s">
        <v>548</v>
      </c>
      <c r="O176" t="s">
        <v>112</v>
      </c>
      <c r="P176" t="s">
        <v>149</v>
      </c>
      <c r="Q176" t="s">
        <v>210</v>
      </c>
      <c r="R176" t="s">
        <v>129</v>
      </c>
      <c r="S176" t="s">
        <v>104</v>
      </c>
      <c r="T176"/>
      <c r="U176"/>
      <c r="V176"/>
      <c r="W176"/>
      <c r="X176"/>
      <c r="Y176"/>
      <c r="Z176">
        <v>23</v>
      </c>
      <c r="AA176">
        <v>4</v>
      </c>
      <c r="AB176" t="s">
        <v>105</v>
      </c>
      <c r="AC176" t="s">
        <v>105</v>
      </c>
      <c r="AD176"/>
      <c r="AE176"/>
      <c r="AF176">
        <v>39.47922</v>
      </c>
      <c r="AG176">
        <v>-0.36425</v>
      </c>
      <c r="AH176"/>
      <c r="AI176">
        <v>16</v>
      </c>
      <c r="AJ176"/>
      <c r="AK176"/>
      <c r="AL176">
        <v>72</v>
      </c>
      <c r="AM176">
        <v>6</v>
      </c>
      <c r="AN176"/>
      <c r="AO176"/>
      <c r="AP176"/>
      <c r="AQ176" t="s">
        <v>185</v>
      </c>
      <c r="AR176" t="s">
        <v>186</v>
      </c>
      <c r="AS176" t="s">
        <v>96</v>
      </c>
      <c r="AT176" t="s">
        <v>545</v>
      </c>
      <c r="AU176" t="s">
        <v>221</v>
      </c>
      <c r="AV176" t="s">
        <v>409</v>
      </c>
      <c r="AW176" t="s">
        <v>230</v>
      </c>
      <c r="AX176" t="s">
        <v>519</v>
      </c>
      <c r="AY176" t="s">
        <v>410</v>
      </c>
      <c r="AZ176">
        <v>0.060606061</v>
      </c>
      <c r="BA176">
        <v>0.027944268</v>
      </c>
      <c r="BB176">
        <v>6</v>
      </c>
      <c r="BC176">
        <v>0.086809269</v>
      </c>
      <c r="BD176">
        <v>0.024014605</v>
      </c>
      <c r="BE176">
        <v>6</v>
      </c>
      <c r="BF176">
        <v>0.051515152</v>
      </c>
      <c r="BG176">
        <v>0.023141347</v>
      </c>
      <c r="BH176">
        <v>6</v>
      </c>
      <c r="BI176">
        <v>0.038680927</v>
      </c>
      <c r="BJ176">
        <v>0.023141347</v>
      </c>
      <c r="BK176">
        <v>6</v>
      </c>
      <c r="BL176"/>
      <c r="BM176"/>
      <c r="BN176"/>
      <c r="BO176"/>
      <c r="BP176"/>
      <c r="BQ176"/>
      <c r="BR176"/>
      <c r="BS176"/>
      <c r="BT176"/>
      <c r="BU176"/>
      <c r="BV176"/>
      <c r="BW176"/>
      <c r="BX176"/>
    </row>
    <row r="177" s="1" customFormat="1" ht="15" customHeight="1" spans="1:76">
      <c r="A177">
        <v>56</v>
      </c>
      <c r="B177">
        <v>184</v>
      </c>
      <c r="C177" t="s">
        <v>538</v>
      </c>
      <c r="D177" t="s">
        <v>539</v>
      </c>
      <c r="E177">
        <v>2017</v>
      </c>
      <c r="F177" t="s">
        <v>540</v>
      </c>
      <c r="G177" t="s">
        <v>236</v>
      </c>
      <c r="H177" t="s">
        <v>198</v>
      </c>
      <c r="I177" t="s">
        <v>541</v>
      </c>
      <c r="J177" t="s">
        <v>96</v>
      </c>
      <c r="K177" t="s">
        <v>9</v>
      </c>
      <c r="L177" t="s">
        <v>542</v>
      </c>
      <c r="M177" t="s">
        <v>543</v>
      </c>
      <c r="N177" t="s">
        <v>549</v>
      </c>
      <c r="O177" t="s">
        <v>112</v>
      </c>
      <c r="P177" t="s">
        <v>149</v>
      </c>
      <c r="Q177" t="s">
        <v>210</v>
      </c>
      <c r="R177" t="s">
        <v>129</v>
      </c>
      <c r="S177" t="s">
        <v>104</v>
      </c>
      <c r="T177"/>
      <c r="U177"/>
      <c r="V177"/>
      <c r="W177"/>
      <c r="X177"/>
      <c r="Y177"/>
      <c r="Z177">
        <v>23</v>
      </c>
      <c r="AA177">
        <v>4</v>
      </c>
      <c r="AB177" t="s">
        <v>105</v>
      </c>
      <c r="AC177" t="s">
        <v>105</v>
      </c>
      <c r="AD177"/>
      <c r="AE177"/>
      <c r="AF177">
        <v>39.47922</v>
      </c>
      <c r="AG177">
        <v>-0.36425</v>
      </c>
      <c r="AH177"/>
      <c r="AI177">
        <v>16</v>
      </c>
      <c r="AJ177"/>
      <c r="AK177"/>
      <c r="AL177">
        <v>72</v>
      </c>
      <c r="AM177">
        <v>6</v>
      </c>
      <c r="AN177"/>
      <c r="AO177"/>
      <c r="AP177"/>
      <c r="AQ177" t="s">
        <v>185</v>
      </c>
      <c r="AR177" t="s">
        <v>186</v>
      </c>
      <c r="AS177" t="s">
        <v>96</v>
      </c>
      <c r="AT177" t="s">
        <v>545</v>
      </c>
      <c r="AU177" t="s">
        <v>221</v>
      </c>
      <c r="AV177" t="s">
        <v>409</v>
      </c>
      <c r="AW177" t="s">
        <v>230</v>
      </c>
      <c r="AX177" t="s">
        <v>519</v>
      </c>
      <c r="AY177" t="s">
        <v>410</v>
      </c>
      <c r="AZ177">
        <v>0.092882562</v>
      </c>
      <c r="BA177">
        <v>0.026151136</v>
      </c>
      <c r="BB177">
        <v>6</v>
      </c>
      <c r="BC177">
        <v>0.187900356</v>
      </c>
      <c r="BD177">
        <v>0.022664318</v>
      </c>
      <c r="BE177">
        <v>6</v>
      </c>
      <c r="BF177">
        <v>0.001423488</v>
      </c>
      <c r="BG177">
        <v>0.016562386</v>
      </c>
      <c r="BH177">
        <v>6</v>
      </c>
      <c r="BI177">
        <v>0.139145907</v>
      </c>
      <c r="BJ177">
        <v>0.022664318</v>
      </c>
      <c r="BK177">
        <v>6</v>
      </c>
      <c r="BL177"/>
      <c r="BM177"/>
      <c r="BN177"/>
      <c r="BO177"/>
      <c r="BP177"/>
      <c r="BQ177"/>
      <c r="BR177"/>
      <c r="BS177"/>
      <c r="BT177"/>
      <c r="BU177"/>
      <c r="BV177"/>
      <c r="BW177"/>
      <c r="BX177"/>
    </row>
    <row r="178" s="1" customFormat="1" ht="15" customHeight="1" spans="1:76">
      <c r="A178">
        <v>57</v>
      </c>
      <c r="B178">
        <v>185</v>
      </c>
      <c r="C178" t="s">
        <v>550</v>
      </c>
      <c r="D178" t="s">
        <v>551</v>
      </c>
      <c r="E178">
        <v>2022</v>
      </c>
      <c r="F178" t="s">
        <v>552</v>
      </c>
      <c r="G178" t="s">
        <v>553</v>
      </c>
      <c r="H178" t="s">
        <v>198</v>
      </c>
      <c r="I178" t="s">
        <v>81</v>
      </c>
      <c r="J178" t="s">
        <v>96</v>
      </c>
      <c r="K178" t="s">
        <v>9</v>
      </c>
      <c r="L178" t="s">
        <v>126</v>
      </c>
      <c r="M178" t="s">
        <v>168</v>
      </c>
      <c r="N178" t="s">
        <v>202</v>
      </c>
      <c r="O178" t="s">
        <v>112</v>
      </c>
      <c r="P178" t="s">
        <v>149</v>
      </c>
      <c r="Q178" t="s">
        <v>102</v>
      </c>
      <c r="R178" t="s">
        <v>129</v>
      </c>
      <c r="S178" t="s">
        <v>104</v>
      </c>
      <c r="T178">
        <v>0.3</v>
      </c>
      <c r="U178"/>
      <c r="V178">
        <v>0.9</v>
      </c>
      <c r="W178"/>
      <c r="X178"/>
      <c r="Y178"/>
      <c r="Z178">
        <f>(25+9.7)/2</f>
        <v>17.35</v>
      </c>
      <c r="AA178"/>
      <c r="AB178" t="s">
        <v>105</v>
      </c>
      <c r="AC178" t="s">
        <v>105</v>
      </c>
      <c r="AD178">
        <v>9.2</v>
      </c>
      <c r="AE178"/>
      <c r="AF178">
        <v>29.6475</v>
      </c>
      <c r="AG178">
        <v>-82.345</v>
      </c>
      <c r="AH178" t="s">
        <v>554</v>
      </c>
      <c r="AI178">
        <v>132</v>
      </c>
      <c r="AJ178">
        <v>38</v>
      </c>
      <c r="AK178" t="s">
        <v>86</v>
      </c>
      <c r="AL178">
        <v>108</v>
      </c>
      <c r="AM178">
        <v>6</v>
      </c>
      <c r="AN178" t="s">
        <v>439</v>
      </c>
      <c r="AO178" t="s">
        <v>173</v>
      </c>
      <c r="AP178" t="s">
        <v>271</v>
      </c>
      <c r="AQ178" t="s">
        <v>89</v>
      </c>
      <c r="AR178" t="s">
        <v>391</v>
      </c>
      <c r="AS178" t="s">
        <v>82</v>
      </c>
      <c r="AT178" t="s">
        <v>90</v>
      </c>
      <c r="AU178" t="s">
        <v>230</v>
      </c>
      <c r="AV178" t="s">
        <v>519</v>
      </c>
      <c r="AW178" t="s">
        <v>91</v>
      </c>
      <c r="AX178" t="s">
        <v>134</v>
      </c>
      <c r="AY178" t="s">
        <v>353</v>
      </c>
      <c r="AZ178">
        <v>0.360357143</v>
      </c>
      <c r="BA178">
        <v>0.172704631</v>
      </c>
      <c r="BB178">
        <v>6</v>
      </c>
      <c r="BC178">
        <v>0.22786</v>
      </c>
      <c r="BD178">
        <v>0.128234679</v>
      </c>
      <c r="BE178">
        <v>5</v>
      </c>
      <c r="BF178">
        <v>0.62042</v>
      </c>
      <c r="BG178">
        <v>0.157128712</v>
      </c>
      <c r="BH178">
        <v>5</v>
      </c>
      <c r="BI178">
        <v>0.2831</v>
      </c>
      <c r="BJ178">
        <v>0.24984239</v>
      </c>
      <c r="BK178">
        <v>4</v>
      </c>
      <c r="BL178"/>
      <c r="BM178"/>
      <c r="BN178"/>
      <c r="BO178"/>
      <c r="BP178"/>
      <c r="BQ178"/>
      <c r="BR178"/>
      <c r="BS178"/>
      <c r="BT178"/>
      <c r="BU178"/>
      <c r="BV178"/>
      <c r="BW178"/>
      <c r="BX178"/>
    </row>
    <row r="179" s="1" customFormat="1" ht="15" customHeight="1" spans="1:76">
      <c r="A179">
        <v>57</v>
      </c>
      <c r="B179">
        <v>186</v>
      </c>
      <c r="C179" t="s">
        <v>550</v>
      </c>
      <c r="D179" t="s">
        <v>551</v>
      </c>
      <c r="E179">
        <v>2022</v>
      </c>
      <c r="F179" t="s">
        <v>552</v>
      </c>
      <c r="G179" t="s">
        <v>553</v>
      </c>
      <c r="H179" t="s">
        <v>198</v>
      </c>
      <c r="I179" t="s">
        <v>81</v>
      </c>
      <c r="J179" t="s">
        <v>96</v>
      </c>
      <c r="K179" t="s">
        <v>9</v>
      </c>
      <c r="L179" t="s">
        <v>126</v>
      </c>
      <c r="M179" t="s">
        <v>127</v>
      </c>
      <c r="N179" t="s">
        <v>128</v>
      </c>
      <c r="O179" t="s">
        <v>100</v>
      </c>
      <c r="P179" t="s">
        <v>101</v>
      </c>
      <c r="Q179" t="s">
        <v>102</v>
      </c>
      <c r="R179" t="s">
        <v>129</v>
      </c>
      <c r="S179" t="s">
        <v>104</v>
      </c>
      <c r="T179">
        <v>0.3</v>
      </c>
      <c r="U179"/>
      <c r="V179">
        <v>0.9</v>
      </c>
      <c r="W179"/>
      <c r="X179"/>
      <c r="Y179"/>
      <c r="Z179">
        <v>17.35</v>
      </c>
      <c r="AA179"/>
      <c r="AB179" t="s">
        <v>105</v>
      </c>
      <c r="AC179" t="s">
        <v>105</v>
      </c>
      <c r="AD179">
        <v>9.2</v>
      </c>
      <c r="AE179"/>
      <c r="AF179">
        <v>29.6475</v>
      </c>
      <c r="AG179">
        <v>-82.345</v>
      </c>
      <c r="AH179" t="s">
        <v>554</v>
      </c>
      <c r="AI179">
        <v>132</v>
      </c>
      <c r="AJ179">
        <v>38</v>
      </c>
      <c r="AK179" t="s">
        <v>86</v>
      </c>
      <c r="AL179">
        <v>108</v>
      </c>
      <c r="AM179">
        <v>6</v>
      </c>
      <c r="AN179" t="s">
        <v>439</v>
      </c>
      <c r="AO179" t="s">
        <v>173</v>
      </c>
      <c r="AP179" t="s">
        <v>271</v>
      </c>
      <c r="AQ179" t="s">
        <v>89</v>
      </c>
      <c r="AR179" t="s">
        <v>391</v>
      </c>
      <c r="AS179" t="s">
        <v>82</v>
      </c>
      <c r="AT179" t="s">
        <v>90</v>
      </c>
      <c r="AU179" t="s">
        <v>230</v>
      </c>
      <c r="AV179" t="s">
        <v>519</v>
      </c>
      <c r="AW179" t="s">
        <v>91</v>
      </c>
      <c r="AX179" t="s">
        <v>134</v>
      </c>
      <c r="AY179" t="s">
        <v>353</v>
      </c>
      <c r="AZ179">
        <v>0.702914286</v>
      </c>
      <c r="BA179">
        <v>0.490685617</v>
      </c>
      <c r="BB179">
        <v>7</v>
      </c>
      <c r="BC179">
        <v>0.47473</v>
      </c>
      <c r="BD179">
        <v>0.130802863</v>
      </c>
      <c r="BE179">
        <v>10</v>
      </c>
      <c r="BF179">
        <v>0.736975</v>
      </c>
      <c r="BG179">
        <v>0.459148149</v>
      </c>
      <c r="BH179">
        <v>4</v>
      </c>
      <c r="BI179">
        <v>0.236975</v>
      </c>
      <c r="BJ179">
        <v>0.144034102</v>
      </c>
      <c r="BK179">
        <v>4</v>
      </c>
      <c r="BL179"/>
      <c r="BM179"/>
      <c r="BN179"/>
      <c r="BO179"/>
      <c r="BP179"/>
      <c r="BQ179"/>
      <c r="BR179"/>
      <c r="BS179"/>
      <c r="BT179"/>
      <c r="BU179"/>
      <c r="BV179"/>
      <c r="BW179"/>
      <c r="BX179"/>
    </row>
    <row r="180" s="1" customFormat="1" ht="15" customHeight="1" spans="1:76">
      <c r="A180">
        <v>58</v>
      </c>
      <c r="B180">
        <v>191</v>
      </c>
      <c r="C180" t="s">
        <v>555</v>
      </c>
      <c r="D180" t="s">
        <v>556</v>
      </c>
      <c r="E180">
        <v>2015</v>
      </c>
      <c r="F180" t="s">
        <v>557</v>
      </c>
      <c r="G180" t="s">
        <v>558</v>
      </c>
      <c r="H180" t="s">
        <v>80</v>
      </c>
      <c r="I180" t="s">
        <v>81</v>
      </c>
      <c r="J180" t="s">
        <v>96</v>
      </c>
      <c r="K180" t="s">
        <v>9</v>
      </c>
      <c r="L180" t="s">
        <v>126</v>
      </c>
      <c r="M180" t="s">
        <v>168</v>
      </c>
      <c r="N180" t="s">
        <v>202</v>
      </c>
      <c r="O180" t="s">
        <v>112</v>
      </c>
      <c r="P180" t="s">
        <v>149</v>
      </c>
      <c r="Q180" t="s">
        <v>102</v>
      </c>
      <c r="R180" t="s">
        <v>129</v>
      </c>
      <c r="S180" t="s">
        <v>104</v>
      </c>
      <c r="T180">
        <f>0.026+0.129</f>
        <v>0.155</v>
      </c>
      <c r="U180"/>
      <c r="V180">
        <f>2*T180</f>
        <v>0.31</v>
      </c>
      <c r="W180"/>
      <c r="X180">
        <v>0.041</v>
      </c>
      <c r="Y180"/>
      <c r="Z180"/>
      <c r="AA180"/>
      <c r="AB180" t="s">
        <v>105</v>
      </c>
      <c r="AC180" t="s">
        <v>105</v>
      </c>
      <c r="AD180"/>
      <c r="AE180">
        <v>18</v>
      </c>
      <c r="AF180">
        <v>30.224</v>
      </c>
      <c r="AG180">
        <v>-92.0198</v>
      </c>
      <c r="AH180" t="s">
        <v>559</v>
      </c>
      <c r="AI180">
        <v>135</v>
      </c>
      <c r="AJ180">
        <v>87</v>
      </c>
      <c r="AK180" t="s">
        <v>86</v>
      </c>
      <c r="AL180">
        <v>27</v>
      </c>
      <c r="AM180">
        <v>3</v>
      </c>
      <c r="AN180" t="s">
        <v>173</v>
      </c>
      <c r="AO180" t="s">
        <v>87</v>
      </c>
      <c r="AP180" t="s">
        <v>560</v>
      </c>
      <c r="AQ180" t="s">
        <v>89</v>
      </c>
      <c r="AR180" t="s">
        <v>89</v>
      </c>
      <c r="AS180" t="s">
        <v>82</v>
      </c>
      <c r="AT180" t="s">
        <v>90</v>
      </c>
      <c r="AU180" t="s">
        <v>91</v>
      </c>
      <c r="AV180" t="s">
        <v>92</v>
      </c>
      <c r="AW180" t="s">
        <v>230</v>
      </c>
      <c r="AX180" t="s">
        <v>519</v>
      </c>
      <c r="AY180" t="s">
        <v>353</v>
      </c>
      <c r="AZ180">
        <v>570</v>
      </c>
      <c r="BA180">
        <v>60</v>
      </c>
      <c r="BB180">
        <v>3</v>
      </c>
      <c r="BC180">
        <v>616.67</v>
      </c>
      <c r="BD180">
        <v>81.08</v>
      </c>
      <c r="BE180">
        <v>3</v>
      </c>
      <c r="BF180">
        <v>223.33</v>
      </c>
      <c r="BG180">
        <v>299.5</v>
      </c>
      <c r="BH180">
        <v>3</v>
      </c>
      <c r="BI180">
        <v>233.33</v>
      </c>
      <c r="BJ180">
        <v>506.16</v>
      </c>
      <c r="BK180">
        <v>3</v>
      </c>
      <c r="BL180"/>
      <c r="BM180"/>
      <c r="BN180"/>
      <c r="BO180"/>
      <c r="BP180"/>
      <c r="BQ180"/>
      <c r="BR180"/>
      <c r="BS180"/>
      <c r="BT180"/>
      <c r="BU180"/>
      <c r="BV180"/>
      <c r="BW180"/>
      <c r="BX180"/>
    </row>
    <row r="181" s="1" customFormat="1" ht="15" customHeight="1" spans="1:76">
      <c r="A181">
        <v>59</v>
      </c>
      <c r="B181">
        <v>192</v>
      </c>
      <c r="C181" t="s">
        <v>561</v>
      </c>
      <c r="D181" t="s">
        <v>562</v>
      </c>
      <c r="E181">
        <v>2002</v>
      </c>
      <c r="F181" t="s">
        <v>563</v>
      </c>
      <c r="G181" t="s">
        <v>125</v>
      </c>
      <c r="H181" t="s">
        <v>80</v>
      </c>
      <c r="I181" t="s">
        <v>564</v>
      </c>
      <c r="J181" t="s">
        <v>96</v>
      </c>
      <c r="K181" t="s">
        <v>9</v>
      </c>
      <c r="L181" t="s">
        <v>565</v>
      </c>
      <c r="M181" t="s">
        <v>566</v>
      </c>
      <c r="N181" t="s">
        <v>567</v>
      </c>
      <c r="O181" t="s">
        <v>112</v>
      </c>
      <c r="P181" t="s">
        <v>149</v>
      </c>
      <c r="Q181" t="s">
        <v>102</v>
      </c>
      <c r="R181" t="s">
        <v>113</v>
      </c>
      <c r="S181" t="s">
        <v>113</v>
      </c>
      <c r="T181">
        <v>0.05</v>
      </c>
      <c r="U181">
        <v>0.265</v>
      </c>
      <c r="V181">
        <f>5.14-T181</f>
        <v>5.09</v>
      </c>
      <c r="W181"/>
      <c r="X181"/>
      <c r="Y181">
        <v>0.05</v>
      </c>
      <c r="Z181">
        <v>22.4</v>
      </c>
      <c r="AA181"/>
      <c r="AB181" t="s">
        <v>105</v>
      </c>
      <c r="AC181" t="s">
        <v>105</v>
      </c>
      <c r="AD181"/>
      <c r="AE181"/>
      <c r="AF181">
        <v>-27.56</v>
      </c>
      <c r="AG181">
        <v>152.283333</v>
      </c>
      <c r="AH181" t="s">
        <v>568</v>
      </c>
      <c r="AI181">
        <v>163</v>
      </c>
      <c r="AJ181">
        <v>0.082</v>
      </c>
      <c r="AK181" t="s">
        <v>86</v>
      </c>
      <c r="AL181">
        <v>12</v>
      </c>
      <c r="AM181">
        <v>2</v>
      </c>
      <c r="AN181" t="s">
        <v>131</v>
      </c>
      <c r="AO181" t="s">
        <v>219</v>
      </c>
      <c r="AP181" t="s">
        <v>569</v>
      </c>
      <c r="AQ181" t="s">
        <v>89</v>
      </c>
      <c r="AR181" t="s">
        <v>352</v>
      </c>
      <c r="AS181" t="s">
        <v>82</v>
      </c>
      <c r="AT181" t="s">
        <v>90</v>
      </c>
      <c r="AU181" t="s">
        <v>380</v>
      </c>
      <c r="AV181" t="s">
        <v>570</v>
      </c>
      <c r="AW181" t="s">
        <v>91</v>
      </c>
      <c r="AX181" t="s">
        <v>92</v>
      </c>
      <c r="AY181" t="s">
        <v>382</v>
      </c>
      <c r="AZ181">
        <v>1.033</v>
      </c>
      <c r="BA181">
        <v>0.306</v>
      </c>
      <c r="BB181">
        <v>2</v>
      </c>
      <c r="BC181">
        <v>1.633</v>
      </c>
      <c r="BD181">
        <v>0.572</v>
      </c>
      <c r="BE181">
        <v>2</v>
      </c>
      <c r="BF181">
        <v>1.4</v>
      </c>
      <c r="BG181">
        <v>0.3</v>
      </c>
      <c r="BH181">
        <v>2</v>
      </c>
      <c r="BI181">
        <v>2.4</v>
      </c>
      <c r="BJ181">
        <v>1.01</v>
      </c>
      <c r="BK181">
        <v>2</v>
      </c>
      <c r="BL181"/>
      <c r="BM181"/>
      <c r="BN181"/>
      <c r="BO181"/>
      <c r="BP181"/>
      <c r="BQ181"/>
      <c r="BR181"/>
      <c r="BS181"/>
      <c r="BT181"/>
      <c r="BU181"/>
      <c r="BV181"/>
      <c r="BW181"/>
      <c r="BX181"/>
    </row>
    <row r="182" s="1" customFormat="1" ht="15" customHeight="1" spans="1:76">
      <c r="A182">
        <v>60</v>
      </c>
      <c r="B182">
        <v>193</v>
      </c>
      <c r="C182" t="s">
        <v>571</v>
      </c>
      <c r="D182" t="s">
        <v>572</v>
      </c>
      <c r="E182">
        <v>2017</v>
      </c>
      <c r="F182" t="s">
        <v>573</v>
      </c>
      <c r="G182" t="s">
        <v>236</v>
      </c>
      <c r="H182" t="s">
        <v>80</v>
      </c>
      <c r="I182" t="s">
        <v>217</v>
      </c>
      <c r="J182" t="s">
        <v>96</v>
      </c>
      <c r="K182" t="s">
        <v>9</v>
      </c>
      <c r="L182" t="s">
        <v>542</v>
      </c>
      <c r="M182" t="s">
        <v>543</v>
      </c>
      <c r="N182" t="s">
        <v>548</v>
      </c>
      <c r="O182" t="s">
        <v>112</v>
      </c>
      <c r="P182" t="s">
        <v>149</v>
      </c>
      <c r="Q182" t="s">
        <v>210</v>
      </c>
      <c r="R182" t="s">
        <v>129</v>
      </c>
      <c r="S182" t="s">
        <v>104</v>
      </c>
      <c r="T182">
        <v>1.8</v>
      </c>
      <c r="U182">
        <v>3</v>
      </c>
      <c r="V182">
        <v>3.34</v>
      </c>
      <c r="W182">
        <v>0.1</v>
      </c>
      <c r="X182">
        <v>0.01</v>
      </c>
      <c r="Y182">
        <v>0.2</v>
      </c>
      <c r="Z182">
        <v>11.4</v>
      </c>
      <c r="AA182">
        <v>4</v>
      </c>
      <c r="AB182" t="s">
        <v>105</v>
      </c>
      <c r="AC182" t="s">
        <v>105</v>
      </c>
      <c r="AD182">
        <v>7.9</v>
      </c>
      <c r="AE182"/>
      <c r="AF182">
        <v>52.2</v>
      </c>
      <c r="AG182">
        <v>5.0333</v>
      </c>
      <c r="AH182" t="s">
        <v>503</v>
      </c>
      <c r="AI182">
        <v>66</v>
      </c>
      <c r="AJ182">
        <v>7</v>
      </c>
      <c r="AK182" t="s">
        <v>115</v>
      </c>
      <c r="AL182">
        <v>40</v>
      </c>
      <c r="AM182">
        <v>6</v>
      </c>
      <c r="AN182" t="s">
        <v>117</v>
      </c>
      <c r="AO182" t="s">
        <v>87</v>
      </c>
      <c r="AP182" t="s">
        <v>142</v>
      </c>
      <c r="AQ182" t="s">
        <v>185</v>
      </c>
      <c r="AR182" t="s">
        <v>186</v>
      </c>
      <c r="AS182" t="s">
        <v>96</v>
      </c>
      <c r="AT182" t="s">
        <v>273</v>
      </c>
      <c r="AU182" t="s">
        <v>91</v>
      </c>
      <c r="AV182" t="s">
        <v>92</v>
      </c>
      <c r="AW182" t="s">
        <v>221</v>
      </c>
      <c r="AX182" t="s">
        <v>409</v>
      </c>
      <c r="AY182" t="s">
        <v>223</v>
      </c>
      <c r="AZ182">
        <v>0.0867647058823529</v>
      </c>
      <c r="BA182">
        <f>(0.0926470588235294-0.0808823529411765)*6^(1/2)</f>
        <v>0.0288175263856843</v>
      </c>
      <c r="BB182">
        <v>6</v>
      </c>
      <c r="BC182">
        <v>0.0622549019607843</v>
      </c>
      <c r="BD182">
        <f>(0.0730392156862745-0.0495098039215686)*6^(1/2)</f>
        <v>0.0576350527713689</v>
      </c>
      <c r="BE182">
        <v>6</v>
      </c>
      <c r="BF182">
        <v>0.100490196078431</v>
      </c>
      <c r="BG182">
        <f>(0.105392156862745-0.0936274509803922)*6^(1/2)</f>
        <v>0.0288175263856841</v>
      </c>
      <c r="BH182">
        <v>6</v>
      </c>
      <c r="BI182">
        <v>0.0990196078431372</v>
      </c>
      <c r="BJ182">
        <f>(0.104411764705882-0.0946078431372549)*6^(1/2)</f>
        <v>0.0240146053214028</v>
      </c>
      <c r="BK182">
        <v>6</v>
      </c>
      <c r="BL182"/>
      <c r="BM182"/>
      <c r="BN182"/>
      <c r="BO182"/>
      <c r="BP182"/>
      <c r="BQ182"/>
      <c r="BR182"/>
      <c r="BS182"/>
      <c r="BT182"/>
      <c r="BU182"/>
      <c r="BV182"/>
      <c r="BW182"/>
      <c r="BX182"/>
    </row>
    <row r="183" s="1" customFormat="1" ht="15" customHeight="1" spans="1:76">
      <c r="A183">
        <v>60</v>
      </c>
      <c r="B183">
        <v>194</v>
      </c>
      <c r="C183" t="s">
        <v>571</v>
      </c>
      <c r="D183" t="s">
        <v>572</v>
      </c>
      <c r="E183">
        <v>2017</v>
      </c>
      <c r="F183" t="s">
        <v>573</v>
      </c>
      <c r="G183" t="s">
        <v>236</v>
      </c>
      <c r="H183" t="s">
        <v>80</v>
      </c>
      <c r="I183" t="s">
        <v>217</v>
      </c>
      <c r="J183" t="s">
        <v>96</v>
      </c>
      <c r="K183" t="s">
        <v>9</v>
      </c>
      <c r="L183" t="s">
        <v>542</v>
      </c>
      <c r="M183" t="s">
        <v>543</v>
      </c>
      <c r="N183" t="s">
        <v>549</v>
      </c>
      <c r="O183" t="s">
        <v>112</v>
      </c>
      <c r="P183" t="s">
        <v>149</v>
      </c>
      <c r="Q183" t="s">
        <v>210</v>
      </c>
      <c r="R183" t="s">
        <v>129</v>
      </c>
      <c r="S183" t="s">
        <v>104</v>
      </c>
      <c r="T183">
        <v>1.8</v>
      </c>
      <c r="U183">
        <v>3</v>
      </c>
      <c r="V183">
        <v>0.01</v>
      </c>
      <c r="W183" t="s">
        <v>105</v>
      </c>
      <c r="X183">
        <v>0.01</v>
      </c>
      <c r="Y183">
        <v>0.2</v>
      </c>
      <c r="Z183">
        <v>11.4</v>
      </c>
      <c r="AA183"/>
      <c r="AB183" t="s">
        <v>105</v>
      </c>
      <c r="AC183" t="s">
        <v>105</v>
      </c>
      <c r="AD183">
        <v>7.9</v>
      </c>
      <c r="AE183"/>
      <c r="AF183">
        <v>52.2</v>
      </c>
      <c r="AG183">
        <v>5.0333</v>
      </c>
      <c r="AH183" t="s">
        <v>503</v>
      </c>
      <c r="AI183">
        <v>66</v>
      </c>
      <c r="AJ183">
        <v>7</v>
      </c>
      <c r="AK183" t="s">
        <v>115</v>
      </c>
      <c r="AL183">
        <v>40</v>
      </c>
      <c r="AM183">
        <v>6</v>
      </c>
      <c r="AN183" t="s">
        <v>117</v>
      </c>
      <c r="AO183" t="s">
        <v>87</v>
      </c>
      <c r="AP183" t="s">
        <v>142</v>
      </c>
      <c r="AQ183" t="s">
        <v>185</v>
      </c>
      <c r="AR183" t="s">
        <v>186</v>
      </c>
      <c r="AS183" t="s">
        <v>96</v>
      </c>
      <c r="AT183" t="s">
        <v>273</v>
      </c>
      <c r="AU183" t="s">
        <v>91</v>
      </c>
      <c r="AV183" t="s">
        <v>92</v>
      </c>
      <c r="AW183" t="s">
        <v>221</v>
      </c>
      <c r="AX183" t="s">
        <v>409</v>
      </c>
      <c r="AY183" t="s">
        <v>223</v>
      </c>
      <c r="AZ183">
        <v>0.137745098039215</v>
      </c>
      <c r="BA183">
        <f>(0.149509803921568-0.125)*6^(1/2)</f>
        <v>0.0600365133035078</v>
      </c>
      <c r="BB183">
        <v>6</v>
      </c>
      <c r="BC183">
        <v>0.125</v>
      </c>
      <c r="BD183">
        <f>(0.137254901960784-0.112745098039215)*6^(1/2)</f>
        <v>0.0600365133035102</v>
      </c>
      <c r="BE183">
        <v>6</v>
      </c>
      <c r="BF183">
        <v>0.175</v>
      </c>
      <c r="BG183">
        <f>(0.186764705882353-0.162254901960784)*6^(1/2)</f>
        <v>0.0600365133035102</v>
      </c>
      <c r="BH183">
        <v>6</v>
      </c>
      <c r="BI183">
        <v>0.186764705882352</v>
      </c>
      <c r="BJ183">
        <f>(0.199509803921568-0.175980392156862)*6^(1/2)</f>
        <v>0.0576350527713692</v>
      </c>
      <c r="BK183">
        <v>6</v>
      </c>
      <c r="BL183"/>
      <c r="BM183"/>
      <c r="BN183"/>
      <c r="BO183"/>
      <c r="BP183"/>
      <c r="BQ183"/>
      <c r="BR183"/>
      <c r="BS183"/>
      <c r="BT183"/>
      <c r="BU183"/>
      <c r="BV183"/>
      <c r="BW183"/>
      <c r="BX183"/>
    </row>
    <row r="184" s="1" customFormat="1" ht="15" customHeight="1" spans="1:76">
      <c r="A184">
        <v>60</v>
      </c>
      <c r="B184">
        <v>195</v>
      </c>
      <c r="C184" t="s">
        <v>571</v>
      </c>
      <c r="D184" t="s">
        <v>572</v>
      </c>
      <c r="E184">
        <v>2017</v>
      </c>
      <c r="F184" t="s">
        <v>573</v>
      </c>
      <c r="G184" t="s">
        <v>236</v>
      </c>
      <c r="H184" t="s">
        <v>80</v>
      </c>
      <c r="I184" t="s">
        <v>217</v>
      </c>
      <c r="J184" t="s">
        <v>96</v>
      </c>
      <c r="K184" t="s">
        <v>9</v>
      </c>
      <c r="L184" t="s">
        <v>542</v>
      </c>
      <c r="M184" t="s">
        <v>543</v>
      </c>
      <c r="N184" t="s">
        <v>548</v>
      </c>
      <c r="O184" t="s">
        <v>112</v>
      </c>
      <c r="P184" t="s">
        <v>149</v>
      </c>
      <c r="Q184" t="s">
        <v>210</v>
      </c>
      <c r="R184" t="s">
        <v>129</v>
      </c>
      <c r="S184" t="s">
        <v>104</v>
      </c>
      <c r="T184">
        <v>8.1</v>
      </c>
      <c r="U184">
        <v>1</v>
      </c>
      <c r="V184"/>
      <c r="W184"/>
      <c r="X184">
        <v>0.045</v>
      </c>
      <c r="Y184">
        <v>0.2</v>
      </c>
      <c r="Z184">
        <v>21.4</v>
      </c>
      <c r="AA184"/>
      <c r="AB184" t="s">
        <v>105</v>
      </c>
      <c r="AC184" t="s">
        <v>105</v>
      </c>
      <c r="AD184">
        <v>7.4</v>
      </c>
      <c r="AE184"/>
      <c r="AF184">
        <v>52.2</v>
      </c>
      <c r="AG184">
        <v>5.0333</v>
      </c>
      <c r="AH184" t="s">
        <v>503</v>
      </c>
      <c r="AI184">
        <v>66</v>
      </c>
      <c r="AJ184">
        <v>7</v>
      </c>
      <c r="AK184" t="s">
        <v>115</v>
      </c>
      <c r="AL184">
        <v>40</v>
      </c>
      <c r="AM184">
        <v>6</v>
      </c>
      <c r="AN184" t="s">
        <v>117</v>
      </c>
      <c r="AO184" t="s">
        <v>87</v>
      </c>
      <c r="AP184" t="s">
        <v>142</v>
      </c>
      <c r="AQ184" t="s">
        <v>185</v>
      </c>
      <c r="AR184" t="s">
        <v>186</v>
      </c>
      <c r="AS184" t="s">
        <v>96</v>
      </c>
      <c r="AT184" t="s">
        <v>273</v>
      </c>
      <c r="AU184" t="s">
        <v>91</v>
      </c>
      <c r="AV184" t="s">
        <v>92</v>
      </c>
      <c r="AW184" t="s">
        <v>221</v>
      </c>
      <c r="AX184" t="s">
        <v>409</v>
      </c>
      <c r="AY184" t="s">
        <v>223</v>
      </c>
      <c r="AZ184">
        <v>0.12075208913649</v>
      </c>
      <c r="BA184">
        <f>(0.129665738161559-0.111281337047353)*6^(1/2)</f>
        <v>0.0450324019564592</v>
      </c>
      <c r="BB184">
        <v>6</v>
      </c>
      <c r="BC184">
        <v>0.130779944289693</v>
      </c>
      <c r="BD184">
        <f>(0.140807799442896-0.12075208913649)*6^(1/2)</f>
        <v>0.0491262566797724</v>
      </c>
      <c r="BE184">
        <v>6</v>
      </c>
      <c r="BF184">
        <v>0.139693593314763</v>
      </c>
      <c r="BG184">
        <f>(0.145264623955431-0.136908077994429)*6^(1/2)</f>
        <v>0.0204692736165706</v>
      </c>
      <c r="BH184">
        <v>6</v>
      </c>
      <c r="BI184">
        <v>0.129665738161559</v>
      </c>
      <c r="BJ184">
        <f>(0.139693593314763-0.121866295264623)*6^(1/2)</f>
        <v>0.0436677837153565</v>
      </c>
      <c r="BK184">
        <v>6</v>
      </c>
      <c r="BL184"/>
      <c r="BM184"/>
      <c r="BN184"/>
      <c r="BO184"/>
      <c r="BP184"/>
      <c r="BQ184"/>
      <c r="BR184"/>
      <c r="BS184"/>
      <c r="BT184"/>
      <c r="BU184"/>
      <c r="BV184"/>
      <c r="BW184"/>
      <c r="BX184"/>
    </row>
    <row r="185" s="1" customFormat="1" ht="15" customHeight="1" spans="1:76">
      <c r="A185">
        <v>60</v>
      </c>
      <c r="B185">
        <v>196</v>
      </c>
      <c r="C185" t="s">
        <v>571</v>
      </c>
      <c r="D185" t="s">
        <v>572</v>
      </c>
      <c r="E185">
        <v>2017</v>
      </c>
      <c r="F185" t="s">
        <v>573</v>
      </c>
      <c r="G185" t="s">
        <v>236</v>
      </c>
      <c r="H185" t="s">
        <v>80</v>
      </c>
      <c r="I185" t="s">
        <v>217</v>
      </c>
      <c r="J185" t="s">
        <v>96</v>
      </c>
      <c r="K185" t="s">
        <v>9</v>
      </c>
      <c r="L185" t="s">
        <v>542</v>
      </c>
      <c r="M185" t="s">
        <v>543</v>
      </c>
      <c r="N185" t="s">
        <v>549</v>
      </c>
      <c r="O185" t="s">
        <v>112</v>
      </c>
      <c r="P185" t="s">
        <v>149</v>
      </c>
      <c r="Q185" t="s">
        <v>210</v>
      </c>
      <c r="R185" t="s">
        <v>129</v>
      </c>
      <c r="S185" t="s">
        <v>104</v>
      </c>
      <c r="T185">
        <v>8.1</v>
      </c>
      <c r="U185">
        <v>1</v>
      </c>
      <c r="V185"/>
      <c r="W185"/>
      <c r="X185">
        <v>0.045</v>
      </c>
      <c r="Y185">
        <v>0.2</v>
      </c>
      <c r="Z185">
        <v>21.4</v>
      </c>
      <c r="AA185"/>
      <c r="AB185" t="s">
        <v>105</v>
      </c>
      <c r="AC185" t="s">
        <v>105</v>
      </c>
      <c r="AD185">
        <v>7.4</v>
      </c>
      <c r="AE185"/>
      <c r="AF185">
        <v>52.2</v>
      </c>
      <c r="AG185">
        <v>5.0333</v>
      </c>
      <c r="AH185" t="s">
        <v>503</v>
      </c>
      <c r="AI185">
        <v>66</v>
      </c>
      <c r="AJ185">
        <v>7</v>
      </c>
      <c r="AK185" t="s">
        <v>115</v>
      </c>
      <c r="AL185">
        <v>40</v>
      </c>
      <c r="AM185">
        <v>6</v>
      </c>
      <c r="AN185" t="s">
        <v>117</v>
      </c>
      <c r="AO185" t="s">
        <v>87</v>
      </c>
      <c r="AP185" t="s">
        <v>142</v>
      </c>
      <c r="AQ185" t="s">
        <v>185</v>
      </c>
      <c r="AR185" t="s">
        <v>186</v>
      </c>
      <c r="AS185" t="s">
        <v>96</v>
      </c>
      <c r="AT185" t="s">
        <v>273</v>
      </c>
      <c r="AU185" t="s">
        <v>91</v>
      </c>
      <c r="AV185" t="s">
        <v>92</v>
      </c>
      <c r="AW185" t="s">
        <v>221</v>
      </c>
      <c r="AX185" t="s">
        <v>409</v>
      </c>
      <c r="AY185" t="s">
        <v>223</v>
      </c>
      <c r="AZ185">
        <v>0.180362116991643</v>
      </c>
      <c r="BA185">
        <f>(0.183704735376044-0.176462395543175)*6^(1/2)</f>
        <v>0.0177400371343627</v>
      </c>
      <c r="BB185">
        <v>6</v>
      </c>
      <c r="BC185">
        <v>0.18091922005571</v>
      </c>
      <c r="BD185">
        <f>(0.184261838440111-0.175905292479108)*6^(1/2)</f>
        <v>0.020469273616573</v>
      </c>
      <c r="BE185">
        <v>6</v>
      </c>
      <c r="BF185">
        <v>0.210445682451253</v>
      </c>
      <c r="BG185">
        <f>(0.21991643454039-0.201532033426183)*6^(1/2)</f>
        <v>0.0450324019564617</v>
      </c>
      <c r="BH185">
        <v>6</v>
      </c>
      <c r="BI185">
        <v>0.21100278551532</v>
      </c>
      <c r="BJ185">
        <f>(0.214345403899721-0.205988857938718)*6^(1/2)</f>
        <v>0.0204692736165731</v>
      </c>
      <c r="BK185">
        <v>6</v>
      </c>
      <c r="BL185"/>
      <c r="BM185"/>
      <c r="BN185"/>
      <c r="BO185"/>
      <c r="BP185"/>
      <c r="BQ185"/>
      <c r="BR185"/>
      <c r="BS185"/>
      <c r="BT185"/>
      <c r="BU185"/>
      <c r="BV185"/>
      <c r="BW185"/>
      <c r="BX185"/>
    </row>
    <row r="186" s="1" customFormat="1" ht="15" customHeight="1" spans="1:76">
      <c r="A186">
        <v>61</v>
      </c>
      <c r="B186">
        <v>197</v>
      </c>
      <c r="C186" t="s">
        <v>574</v>
      </c>
      <c r="D186" t="s">
        <v>575</v>
      </c>
      <c r="E186">
        <v>2016</v>
      </c>
      <c r="F186" t="s">
        <v>576</v>
      </c>
      <c r="G186" t="s">
        <v>236</v>
      </c>
      <c r="H186" t="s">
        <v>80</v>
      </c>
      <c r="I186" t="s">
        <v>81</v>
      </c>
      <c r="J186" t="s">
        <v>96</v>
      </c>
      <c r="K186" t="s">
        <v>9</v>
      </c>
      <c r="L186" t="s">
        <v>577</v>
      </c>
      <c r="M186" t="s">
        <v>578</v>
      </c>
      <c r="N186" t="s">
        <v>579</v>
      </c>
      <c r="O186" t="s">
        <v>112</v>
      </c>
      <c r="P186" t="s">
        <v>149</v>
      </c>
      <c r="Q186" t="s">
        <v>102</v>
      </c>
      <c r="R186" t="s">
        <v>113</v>
      </c>
      <c r="S186" t="s">
        <v>113</v>
      </c>
      <c r="T186"/>
      <c r="U186">
        <f>0.000287*1000</f>
        <v>0.287</v>
      </c>
      <c r="V186"/>
      <c r="W186">
        <f>(0.0025*1000-U186)</f>
        <v>2.213</v>
      </c>
      <c r="X186"/>
      <c r="Y186">
        <v>0.139</v>
      </c>
      <c r="Z186">
        <f>(28.6+26.3)/2</f>
        <v>27.45</v>
      </c>
      <c r="AA186"/>
      <c r="AB186" t="s">
        <v>105</v>
      </c>
      <c r="AC186" t="s">
        <v>105</v>
      </c>
      <c r="AD186">
        <v>8.4</v>
      </c>
      <c r="AE186"/>
      <c r="AF186">
        <v>37.246666</v>
      </c>
      <c r="AG186">
        <v>-76.505</v>
      </c>
      <c r="AH186" t="s">
        <v>580</v>
      </c>
      <c r="AI186">
        <v>77</v>
      </c>
      <c r="AJ186">
        <v>20</v>
      </c>
      <c r="AK186" t="s">
        <v>86</v>
      </c>
      <c r="AL186">
        <v>126</v>
      </c>
      <c r="AM186">
        <v>3</v>
      </c>
      <c r="AN186" t="s">
        <v>270</v>
      </c>
      <c r="AO186" t="s">
        <v>439</v>
      </c>
      <c r="AP186"/>
      <c r="AQ186" t="s">
        <v>185</v>
      </c>
      <c r="AR186" t="s">
        <v>186</v>
      </c>
      <c r="AS186" t="s">
        <v>96</v>
      </c>
      <c r="AT186" t="s">
        <v>545</v>
      </c>
      <c r="AU186" t="s">
        <v>230</v>
      </c>
      <c r="AV186" t="s">
        <v>519</v>
      </c>
      <c r="AW186" t="s">
        <v>91</v>
      </c>
      <c r="AX186" t="s">
        <v>134</v>
      </c>
      <c r="AY186" t="s">
        <v>353</v>
      </c>
      <c r="AZ186">
        <v>0.0196831364124597</v>
      </c>
      <c r="BA186">
        <f>(0.0200859291084855-0.0192266380236305)*3^(1/2)</f>
        <v>0.00148833581745984</v>
      </c>
      <c r="BB186">
        <v>3</v>
      </c>
      <c r="BC186">
        <v>0.0134801288936627</v>
      </c>
      <c r="BD186">
        <f>(0.013641245972073-0.0133458646616541)*3^(1/2)</f>
        <v>0.000511615437251808</v>
      </c>
      <c r="BE186">
        <v>3</v>
      </c>
      <c r="BF186">
        <v>0.0196831364124597</v>
      </c>
      <c r="BG186">
        <f>(0.0222878625134264-0.017078410311493)*3^(1/2)</f>
        <v>0.00902303589335021</v>
      </c>
      <c r="BH186">
        <v>3</v>
      </c>
      <c r="BI186">
        <v>0.0120837808807733</v>
      </c>
      <c r="BJ186">
        <f>(0.0126745435016111-0.0114124597207303)*3^(1/2)</f>
        <v>0.00218599323189417</v>
      </c>
      <c r="BK186">
        <v>3</v>
      </c>
      <c r="BL186"/>
      <c r="BM186"/>
      <c r="BN186"/>
      <c r="BO186"/>
      <c r="BP186"/>
      <c r="BQ186"/>
      <c r="BR186"/>
      <c r="BS186"/>
      <c r="BT186"/>
      <c r="BU186"/>
      <c r="BV186"/>
      <c r="BW186"/>
      <c r="BX186"/>
    </row>
    <row r="187" s="1" customFormat="1" ht="15" customHeight="1" spans="1:76">
      <c r="A187">
        <v>61</v>
      </c>
      <c r="B187">
        <v>198</v>
      </c>
      <c r="C187" t="s">
        <v>574</v>
      </c>
      <c r="D187" t="s">
        <v>575</v>
      </c>
      <c r="E187">
        <v>2016</v>
      </c>
      <c r="F187" t="s">
        <v>576</v>
      </c>
      <c r="G187" t="s">
        <v>236</v>
      </c>
      <c r="H187" t="s">
        <v>80</v>
      </c>
      <c r="I187" t="s">
        <v>81</v>
      </c>
      <c r="J187" t="s">
        <v>96</v>
      </c>
      <c r="K187" t="s">
        <v>9</v>
      </c>
      <c r="L187" t="s">
        <v>126</v>
      </c>
      <c r="M187" t="s">
        <v>168</v>
      </c>
      <c r="N187" t="s">
        <v>202</v>
      </c>
      <c r="O187" t="s">
        <v>112</v>
      </c>
      <c r="P187" t="s">
        <v>149</v>
      </c>
      <c r="Q187" t="s">
        <v>102</v>
      </c>
      <c r="R187" t="s">
        <v>129</v>
      </c>
      <c r="S187" t="s">
        <v>104</v>
      </c>
      <c r="T187"/>
      <c r="U187">
        <f>0.000287*1000</f>
        <v>0.287</v>
      </c>
      <c r="V187"/>
      <c r="W187">
        <f>(0.0025*1000-U187)</f>
        <v>2.213</v>
      </c>
      <c r="X187"/>
      <c r="Y187">
        <v>0.139</v>
      </c>
      <c r="Z187">
        <f>(28.6+26.3)/2</f>
        <v>27.45</v>
      </c>
      <c r="AA187"/>
      <c r="AB187" t="s">
        <v>105</v>
      </c>
      <c r="AC187" t="s">
        <v>105</v>
      </c>
      <c r="AD187">
        <v>8.4</v>
      </c>
      <c r="AE187"/>
      <c r="AF187">
        <v>37.246666</v>
      </c>
      <c r="AG187">
        <v>-76.505</v>
      </c>
      <c r="AH187" t="s">
        <v>580</v>
      </c>
      <c r="AI187">
        <v>77</v>
      </c>
      <c r="AJ187">
        <v>20</v>
      </c>
      <c r="AK187" t="s">
        <v>86</v>
      </c>
      <c r="AL187">
        <v>126</v>
      </c>
      <c r="AM187">
        <v>3</v>
      </c>
      <c r="AN187" t="s">
        <v>270</v>
      </c>
      <c r="AO187" t="s">
        <v>439</v>
      </c>
      <c r="AP187"/>
      <c r="AQ187" t="s">
        <v>185</v>
      </c>
      <c r="AR187" t="s">
        <v>186</v>
      </c>
      <c r="AS187" t="s">
        <v>96</v>
      </c>
      <c r="AT187" t="s">
        <v>545</v>
      </c>
      <c r="AU187" t="s">
        <v>230</v>
      </c>
      <c r="AV187" t="s">
        <v>519</v>
      </c>
      <c r="AW187" t="s">
        <v>91</v>
      </c>
      <c r="AX187" t="s">
        <v>134</v>
      </c>
      <c r="AY187" t="s">
        <v>353</v>
      </c>
      <c r="AZ187">
        <v>0.0151450053705692</v>
      </c>
      <c r="BA187">
        <f>(0.015735767991407-0.01468850698174)*3^(1/2)</f>
        <v>0.00181390927752912</v>
      </c>
      <c r="BB187">
        <v>3</v>
      </c>
      <c r="BC187">
        <v>0.00977443609022556</v>
      </c>
      <c r="BD187">
        <f>(0.010392051557465-0.00923737916219119)*3^(1/2)</f>
        <v>0.00199995125471149</v>
      </c>
      <c r="BE187">
        <v>3</v>
      </c>
      <c r="BF187">
        <v>0.0213748657357679</v>
      </c>
      <c r="BG187">
        <f>(0.0230397422126745-0.0196831364124597)*3^(1/2)</f>
        <v>0.00581381178695243</v>
      </c>
      <c r="BH187">
        <v>3</v>
      </c>
      <c r="BI187">
        <v>0.0177228786251342</v>
      </c>
      <c r="BJ187">
        <f>(0.019172932330827-0.0162728249194414)*3^(1/2)</f>
        <v>0.00502313338392692</v>
      </c>
      <c r="BK187">
        <v>3</v>
      </c>
      <c r="BL187"/>
      <c r="BM187"/>
      <c r="BN187"/>
      <c r="BO187"/>
      <c r="BP187"/>
      <c r="BQ187"/>
      <c r="BR187"/>
      <c r="BS187"/>
      <c r="BT187"/>
      <c r="BU187"/>
      <c r="BV187"/>
      <c r="BW187"/>
      <c r="BX187"/>
    </row>
    <row r="188" s="1" customFormat="1" ht="15" customHeight="1" spans="1:76">
      <c r="A188">
        <v>61</v>
      </c>
      <c r="B188">
        <v>199</v>
      </c>
      <c r="C188" t="s">
        <v>574</v>
      </c>
      <c r="D188" t="s">
        <v>575</v>
      </c>
      <c r="E188">
        <v>2016</v>
      </c>
      <c r="F188" t="s">
        <v>576</v>
      </c>
      <c r="G188" t="s">
        <v>236</v>
      </c>
      <c r="H188" t="s">
        <v>80</v>
      </c>
      <c r="I188" t="s">
        <v>81</v>
      </c>
      <c r="J188" t="s">
        <v>96</v>
      </c>
      <c r="K188" t="s">
        <v>9</v>
      </c>
      <c r="L188" t="s">
        <v>146</v>
      </c>
      <c r="M188" t="s">
        <v>428</v>
      </c>
      <c r="N188" t="s">
        <v>517</v>
      </c>
      <c r="O188" t="s">
        <v>112</v>
      </c>
      <c r="P188" t="s">
        <v>149</v>
      </c>
      <c r="Q188" t="s">
        <v>102</v>
      </c>
      <c r="R188" t="s">
        <v>103</v>
      </c>
      <c r="S188" t="s">
        <v>104</v>
      </c>
      <c r="T188"/>
      <c r="U188">
        <f>0.000287*1000</f>
        <v>0.287</v>
      </c>
      <c r="V188"/>
      <c r="W188">
        <f>(0.0025*1000-U188)</f>
        <v>2.213</v>
      </c>
      <c r="X188"/>
      <c r="Y188">
        <v>0.139</v>
      </c>
      <c r="Z188">
        <f>(28.6+26.3)/2</f>
        <v>27.45</v>
      </c>
      <c r="AA188"/>
      <c r="AB188" t="s">
        <v>105</v>
      </c>
      <c r="AC188" t="s">
        <v>105</v>
      </c>
      <c r="AD188">
        <v>8.4</v>
      </c>
      <c r="AE188"/>
      <c r="AF188">
        <v>37.246666</v>
      </c>
      <c r="AG188">
        <v>-76.505</v>
      </c>
      <c r="AH188" t="s">
        <v>580</v>
      </c>
      <c r="AI188">
        <v>77</v>
      </c>
      <c r="AJ188">
        <v>20</v>
      </c>
      <c r="AK188" t="s">
        <v>86</v>
      </c>
      <c r="AL188">
        <v>126</v>
      </c>
      <c r="AM188">
        <v>3</v>
      </c>
      <c r="AN188" t="s">
        <v>270</v>
      </c>
      <c r="AO188" t="s">
        <v>439</v>
      </c>
      <c r="AP188"/>
      <c r="AQ188" t="s">
        <v>185</v>
      </c>
      <c r="AR188" t="s">
        <v>186</v>
      </c>
      <c r="AS188" t="s">
        <v>96</v>
      </c>
      <c r="AT188" t="s">
        <v>545</v>
      </c>
      <c r="AU188" t="s">
        <v>230</v>
      </c>
      <c r="AV188" t="s">
        <v>519</v>
      </c>
      <c r="AW188" t="s">
        <v>91</v>
      </c>
      <c r="AX188" t="s">
        <v>134</v>
      </c>
      <c r="AY188" t="s">
        <v>353</v>
      </c>
      <c r="AZ188">
        <v>0.0139634801288936</v>
      </c>
      <c r="BA188">
        <f>(0.0151181525241675-0.0128893662728249)*3^(1/2)</f>
        <v>0.00386037102653636</v>
      </c>
      <c r="BB188">
        <v>3</v>
      </c>
      <c r="BC188">
        <v>0.0120300751879699</v>
      </c>
      <c r="BD188">
        <f>(0.0128893662728249-0.0112244897959183)*3^(1/2)</f>
        <v>0.0028836506463285</v>
      </c>
      <c r="BE188">
        <v>3</v>
      </c>
      <c r="BF188">
        <v>0.0164339419978517</v>
      </c>
      <c r="BG188">
        <f>(0.0184210526315789-0.014500537056928)*3^(1/2)</f>
        <v>0.00679053216716045</v>
      </c>
      <c r="BH188">
        <v>3</v>
      </c>
      <c r="BI188">
        <v>0.00660580021482277</v>
      </c>
      <c r="BJ188">
        <f>(0.00730397422126745-0.00590762620837808)*3^(1/2)</f>
        <v>0.00241854570337223</v>
      </c>
      <c r="BK188">
        <v>3</v>
      </c>
      <c r="BL188"/>
      <c r="BM188"/>
      <c r="BN188"/>
      <c r="BO188"/>
      <c r="BP188"/>
      <c r="BQ188"/>
      <c r="BR188"/>
      <c r="BS188"/>
      <c r="BT188"/>
      <c r="BU188"/>
      <c r="BV188"/>
      <c r="BW188"/>
      <c r="BX188"/>
    </row>
    <row r="189" s="1" customFormat="1" ht="15" customHeight="1" spans="1:76">
      <c r="A189">
        <v>64</v>
      </c>
      <c r="B189">
        <v>202</v>
      </c>
      <c r="C189" t="s">
        <v>581</v>
      </c>
      <c r="D189" t="s">
        <v>582</v>
      </c>
      <c r="E189">
        <v>2022</v>
      </c>
      <c r="F189" t="s">
        <v>583</v>
      </c>
      <c r="G189" t="s">
        <v>584</v>
      </c>
      <c r="H189" t="s">
        <v>80</v>
      </c>
      <c r="I189" t="s">
        <v>333</v>
      </c>
      <c r="J189" t="s">
        <v>82</v>
      </c>
      <c r="K189" t="s">
        <v>585</v>
      </c>
      <c r="L189" t="s">
        <v>84</v>
      </c>
      <c r="M189" t="s">
        <v>84</v>
      </c>
      <c r="N189" t="s">
        <v>84</v>
      </c>
      <c r="O189" t="s">
        <v>84</v>
      </c>
      <c r="P189"/>
      <c r="Q189"/>
      <c r="R189"/>
      <c r="S189"/>
      <c r="T189">
        <v>0.27</v>
      </c>
      <c r="U189"/>
      <c r="V189">
        <v>0.43</v>
      </c>
      <c r="W189"/>
      <c r="X189">
        <v>0.058</v>
      </c>
      <c r="Y189"/>
      <c r="Z189">
        <v>22</v>
      </c>
      <c r="AA189"/>
      <c r="AB189" t="s">
        <v>105</v>
      </c>
      <c r="AC189" t="s">
        <v>170</v>
      </c>
      <c r="AD189">
        <v>8</v>
      </c>
      <c r="AE189"/>
      <c r="AF189"/>
      <c r="AG189"/>
      <c r="AH189" t="s">
        <v>586</v>
      </c>
      <c r="AI189">
        <v>28</v>
      </c>
      <c r="AJ189">
        <v>8</v>
      </c>
      <c r="AK189" t="s">
        <v>86</v>
      </c>
      <c r="AL189">
        <v>40</v>
      </c>
      <c r="AM189">
        <v>5</v>
      </c>
      <c r="AN189"/>
      <c r="AO189"/>
      <c r="AP189"/>
      <c r="AQ189" t="s">
        <v>89</v>
      </c>
      <c r="AR189" t="s">
        <v>391</v>
      </c>
      <c r="AS189" t="s">
        <v>82</v>
      </c>
      <c r="AT189" t="s">
        <v>587</v>
      </c>
      <c r="AU189" t="s">
        <v>91</v>
      </c>
      <c r="AV189" t="s">
        <v>255</v>
      </c>
      <c r="AW189" t="s">
        <v>230</v>
      </c>
      <c r="AX189" t="s">
        <v>588</v>
      </c>
      <c r="AY189" t="s">
        <v>353</v>
      </c>
      <c r="AZ189">
        <v>0.21075354573484</v>
      </c>
      <c r="BA189">
        <v>0.0511969964428755</v>
      </c>
      <c r="BB189">
        <v>5</v>
      </c>
      <c r="BC189">
        <v>0.222836793422404</v>
      </c>
      <c r="BD189">
        <v>0.0298649145916768</v>
      </c>
      <c r="BE189">
        <v>5</v>
      </c>
      <c r="BF189">
        <v>0.143131757451181</v>
      </c>
      <c r="BG189">
        <v>0.0390072353850477</v>
      </c>
      <c r="BH189">
        <v>5</v>
      </c>
      <c r="BI189">
        <v>0.0998421377183967</v>
      </c>
      <c r="BJ189">
        <v>0.0414451875966134</v>
      </c>
      <c r="BK189">
        <v>5</v>
      </c>
      <c r="BL189"/>
      <c r="BM189"/>
      <c r="BN189"/>
      <c r="BO189"/>
      <c r="BP189"/>
      <c r="BQ189"/>
      <c r="BR189"/>
      <c r="BS189"/>
      <c r="BT189"/>
      <c r="BU189"/>
      <c r="BV189"/>
      <c r="BW189"/>
      <c r="BX189"/>
    </row>
    <row r="190" s="1" customFormat="1" ht="15" customHeight="1" spans="1:76">
      <c r="A190">
        <v>64</v>
      </c>
      <c r="B190">
        <v>203</v>
      </c>
      <c r="C190" t="s">
        <v>581</v>
      </c>
      <c r="D190" t="s">
        <v>582</v>
      </c>
      <c r="E190">
        <v>2022</v>
      </c>
      <c r="F190" t="s">
        <v>583</v>
      </c>
      <c r="G190" t="s">
        <v>584</v>
      </c>
      <c r="H190" t="s">
        <v>80</v>
      </c>
      <c r="I190" t="s">
        <v>333</v>
      </c>
      <c r="J190" t="s">
        <v>82</v>
      </c>
      <c r="K190" t="s">
        <v>589</v>
      </c>
      <c r="L190" t="s">
        <v>84</v>
      </c>
      <c r="M190" t="s">
        <v>84</v>
      </c>
      <c r="N190" t="s">
        <v>84</v>
      </c>
      <c r="O190" t="s">
        <v>84</v>
      </c>
      <c r="P190"/>
      <c r="Q190"/>
      <c r="R190"/>
      <c r="S190"/>
      <c r="T190">
        <v>0.27</v>
      </c>
      <c r="U190"/>
      <c r="V190">
        <v>0.43</v>
      </c>
      <c r="W190"/>
      <c r="X190">
        <v>0.058</v>
      </c>
      <c r="Y190"/>
      <c r="Z190">
        <v>22</v>
      </c>
      <c r="AA190">
        <v>3.5</v>
      </c>
      <c r="AB190" t="s">
        <v>105</v>
      </c>
      <c r="AC190" t="s">
        <v>170</v>
      </c>
      <c r="AD190">
        <v>8</v>
      </c>
      <c r="AE190"/>
      <c r="AF190"/>
      <c r="AG190"/>
      <c r="AH190" t="s">
        <v>586</v>
      </c>
      <c r="AI190">
        <v>28</v>
      </c>
      <c r="AJ190">
        <v>8</v>
      </c>
      <c r="AK190" t="s">
        <v>86</v>
      </c>
      <c r="AL190">
        <v>40</v>
      </c>
      <c r="AM190">
        <v>5</v>
      </c>
      <c r="AN190"/>
      <c r="AO190"/>
      <c r="AP190"/>
      <c r="AQ190" t="s">
        <v>89</v>
      </c>
      <c r="AR190" t="s">
        <v>391</v>
      </c>
      <c r="AS190" t="s">
        <v>82</v>
      </c>
      <c r="AT190" t="s">
        <v>587</v>
      </c>
      <c r="AU190" t="s">
        <v>91</v>
      </c>
      <c r="AV190" t="s">
        <v>255</v>
      </c>
      <c r="AW190" t="s">
        <v>221</v>
      </c>
      <c r="AX190" t="s">
        <v>409</v>
      </c>
      <c r="AY190" t="s">
        <v>223</v>
      </c>
      <c r="AZ190">
        <v>0.21075354573484</v>
      </c>
      <c r="BA190">
        <v>0.0511969964428755</v>
      </c>
      <c r="BB190">
        <v>5</v>
      </c>
      <c r="BC190">
        <v>0.222836793422404</v>
      </c>
      <c r="BD190">
        <v>0.0298649145916768</v>
      </c>
      <c r="BE190">
        <v>5</v>
      </c>
      <c r="BF190">
        <v>0.320659198355601</v>
      </c>
      <c r="BG190">
        <v>0.0262079862743291</v>
      </c>
      <c r="BH190">
        <v>5</v>
      </c>
      <c r="BI190">
        <v>0.293168139773894</v>
      </c>
      <c r="BJ190">
        <v>0.113974265890686</v>
      </c>
      <c r="BK190">
        <v>5</v>
      </c>
      <c r="BL190"/>
      <c r="BM190"/>
      <c r="BN190"/>
      <c r="BO190"/>
      <c r="BP190"/>
      <c r="BQ190"/>
      <c r="BR190"/>
      <c r="BS190"/>
      <c r="BT190"/>
      <c r="BU190"/>
      <c r="BV190"/>
      <c r="BW190"/>
      <c r="BX190"/>
    </row>
    <row r="191" s="1" customFormat="1" ht="15" customHeight="1" spans="1:76">
      <c r="A191">
        <v>64</v>
      </c>
      <c r="B191">
        <v>204</v>
      </c>
      <c r="C191" t="s">
        <v>581</v>
      </c>
      <c r="D191" t="s">
        <v>582</v>
      </c>
      <c r="E191">
        <v>2022</v>
      </c>
      <c r="F191" t="s">
        <v>583</v>
      </c>
      <c r="G191" t="s">
        <v>584</v>
      </c>
      <c r="H191" t="s">
        <v>80</v>
      </c>
      <c r="I191" t="s">
        <v>333</v>
      </c>
      <c r="J191" t="s">
        <v>96</v>
      </c>
      <c r="K191" t="s">
        <v>9</v>
      </c>
      <c r="L191" t="s">
        <v>97</v>
      </c>
      <c r="M191" t="s">
        <v>98</v>
      </c>
      <c r="N191" t="s">
        <v>99</v>
      </c>
      <c r="O191" t="s">
        <v>112</v>
      </c>
      <c r="P191" t="s">
        <v>101</v>
      </c>
      <c r="Q191" t="s">
        <v>102</v>
      </c>
      <c r="R191" t="s">
        <v>103</v>
      </c>
      <c r="S191" t="s">
        <v>104</v>
      </c>
      <c r="T191">
        <v>0.27</v>
      </c>
      <c r="U191"/>
      <c r="V191">
        <v>0.43</v>
      </c>
      <c r="W191"/>
      <c r="X191">
        <v>0.058</v>
      </c>
      <c r="Y191"/>
      <c r="Z191">
        <v>22</v>
      </c>
      <c r="AA191"/>
      <c r="AB191" t="s">
        <v>105</v>
      </c>
      <c r="AC191" t="s">
        <v>170</v>
      </c>
      <c r="AD191">
        <v>8</v>
      </c>
      <c r="AE191"/>
      <c r="AF191"/>
      <c r="AG191"/>
      <c r="AH191" t="s">
        <v>586</v>
      </c>
      <c r="AI191">
        <v>28</v>
      </c>
      <c r="AJ191">
        <v>8</v>
      </c>
      <c r="AK191" t="s">
        <v>86</v>
      </c>
      <c r="AL191">
        <v>40</v>
      </c>
      <c r="AM191">
        <v>5</v>
      </c>
      <c r="AN191"/>
      <c r="AO191"/>
      <c r="AP191"/>
      <c r="AQ191" t="s">
        <v>89</v>
      </c>
      <c r="AR191" t="s">
        <v>391</v>
      </c>
      <c r="AS191" t="s">
        <v>82</v>
      </c>
      <c r="AT191" t="s">
        <v>587</v>
      </c>
      <c r="AU191" t="s">
        <v>91</v>
      </c>
      <c r="AV191" t="s">
        <v>255</v>
      </c>
      <c r="AW191" t="s">
        <v>230</v>
      </c>
      <c r="AX191" t="s">
        <v>588</v>
      </c>
      <c r="AY191" t="s">
        <v>353</v>
      </c>
      <c r="AZ191">
        <v>0.162580276134122</v>
      </c>
      <c r="BA191">
        <v>0.0105271930555619</v>
      </c>
      <c r="BB191">
        <v>5</v>
      </c>
      <c r="BC191">
        <v>0.138546351084812</v>
      </c>
      <c r="BD191">
        <v>0.0409390841049614</v>
      </c>
      <c r="BE191">
        <v>5</v>
      </c>
      <c r="BF191">
        <v>0.0953364891518736</v>
      </c>
      <c r="BG191">
        <v>0.0257331385802618</v>
      </c>
      <c r="BH191">
        <v>5</v>
      </c>
      <c r="BI191">
        <v>0.0367605522682443</v>
      </c>
      <c r="BJ191">
        <v>0.0140362574074156</v>
      </c>
      <c r="BK191">
        <v>5</v>
      </c>
      <c r="BL191"/>
      <c r="BM191"/>
      <c r="BN191"/>
      <c r="BO191"/>
      <c r="BP191"/>
      <c r="BQ191"/>
      <c r="BR191"/>
      <c r="BS191"/>
      <c r="BT191"/>
      <c r="BU191"/>
      <c r="BV191"/>
      <c r="BW191"/>
      <c r="BX191"/>
    </row>
    <row r="192" s="1" customFormat="1" ht="15" customHeight="1" spans="1:76">
      <c r="A192">
        <v>64</v>
      </c>
      <c r="B192">
        <v>205</v>
      </c>
      <c r="C192" t="s">
        <v>581</v>
      </c>
      <c r="D192" t="s">
        <v>582</v>
      </c>
      <c r="E192">
        <v>2022</v>
      </c>
      <c r="F192" t="s">
        <v>583</v>
      </c>
      <c r="G192" t="s">
        <v>584</v>
      </c>
      <c r="H192" t="s">
        <v>80</v>
      </c>
      <c r="I192" t="s">
        <v>333</v>
      </c>
      <c r="J192" t="s">
        <v>96</v>
      </c>
      <c r="K192" t="s">
        <v>9</v>
      </c>
      <c r="L192" t="s">
        <v>97</v>
      </c>
      <c r="M192" t="s">
        <v>98</v>
      </c>
      <c r="N192" t="s">
        <v>99</v>
      </c>
      <c r="O192" t="s">
        <v>112</v>
      </c>
      <c r="P192" t="s">
        <v>101</v>
      </c>
      <c r="Q192" t="s">
        <v>102</v>
      </c>
      <c r="R192" t="s">
        <v>103</v>
      </c>
      <c r="S192" t="s">
        <v>104</v>
      </c>
      <c r="T192">
        <v>0.27</v>
      </c>
      <c r="U192"/>
      <c r="V192">
        <v>0.43</v>
      </c>
      <c r="W192"/>
      <c r="X192">
        <v>0.058</v>
      </c>
      <c r="Y192"/>
      <c r="Z192">
        <v>22</v>
      </c>
      <c r="AA192">
        <v>3.5</v>
      </c>
      <c r="AB192" t="s">
        <v>105</v>
      </c>
      <c r="AC192" t="s">
        <v>170</v>
      </c>
      <c r="AD192">
        <v>8</v>
      </c>
      <c r="AE192"/>
      <c r="AF192"/>
      <c r="AG192"/>
      <c r="AH192" t="s">
        <v>586</v>
      </c>
      <c r="AI192">
        <v>28</v>
      </c>
      <c r="AJ192">
        <v>8</v>
      </c>
      <c r="AK192" t="s">
        <v>86</v>
      </c>
      <c r="AL192">
        <v>40</v>
      </c>
      <c r="AM192">
        <v>5</v>
      </c>
      <c r="AN192"/>
      <c r="AO192"/>
      <c r="AP192"/>
      <c r="AQ192" t="s">
        <v>89</v>
      </c>
      <c r="AR192" t="s">
        <v>391</v>
      </c>
      <c r="AS192" t="s">
        <v>82</v>
      </c>
      <c r="AT192" t="s">
        <v>587</v>
      </c>
      <c r="AU192" t="s">
        <v>91</v>
      </c>
      <c r="AV192" t="s">
        <v>255</v>
      </c>
      <c r="AW192" t="s">
        <v>221</v>
      </c>
      <c r="AX192" t="s">
        <v>409</v>
      </c>
      <c r="AY192" t="s">
        <v>223</v>
      </c>
      <c r="AZ192">
        <v>0.162580276134122</v>
      </c>
      <c r="BA192">
        <v>0.0105271930555619</v>
      </c>
      <c r="BB192">
        <v>5</v>
      </c>
      <c r="BC192">
        <v>0.138546351084812</v>
      </c>
      <c r="BD192">
        <v>0.0409390841049614</v>
      </c>
      <c r="BE192">
        <v>5</v>
      </c>
      <c r="BF192">
        <v>0.295000394477317</v>
      </c>
      <c r="BG192">
        <v>0.086556920679063</v>
      </c>
      <c r="BH192">
        <v>5</v>
      </c>
      <c r="BI192">
        <v>0.193615581854042</v>
      </c>
      <c r="BJ192">
        <v>0.0111120371142038</v>
      </c>
      <c r="BK192">
        <v>5</v>
      </c>
      <c r="BL192"/>
      <c r="BM192"/>
      <c r="BN192"/>
      <c r="BO192"/>
      <c r="BP192"/>
      <c r="BQ192"/>
      <c r="BR192"/>
      <c r="BS192"/>
      <c r="BT192"/>
      <c r="BU192"/>
      <c r="BV192"/>
      <c r="BW192"/>
      <c r="BX192"/>
    </row>
    <row r="193" s="1" customFormat="1" ht="15" customHeight="1" spans="1:76">
      <c r="A193">
        <v>64</v>
      </c>
      <c r="B193">
        <v>206</v>
      </c>
      <c r="C193" t="s">
        <v>581</v>
      </c>
      <c r="D193" t="s">
        <v>582</v>
      </c>
      <c r="E193">
        <v>2022</v>
      </c>
      <c r="F193" t="s">
        <v>583</v>
      </c>
      <c r="G193" t="s">
        <v>584</v>
      </c>
      <c r="H193" t="s">
        <v>80</v>
      </c>
      <c r="I193" t="s">
        <v>333</v>
      </c>
      <c r="J193" t="s">
        <v>96</v>
      </c>
      <c r="K193" t="s">
        <v>9</v>
      </c>
      <c r="L193" t="s">
        <v>146</v>
      </c>
      <c r="M193" t="s">
        <v>147</v>
      </c>
      <c r="N193" t="s">
        <v>488</v>
      </c>
      <c r="O193" t="s">
        <v>112</v>
      </c>
      <c r="P193" t="s">
        <v>149</v>
      </c>
      <c r="Q193" t="s">
        <v>102</v>
      </c>
      <c r="R193" t="s">
        <v>103</v>
      </c>
      <c r="S193" t="s">
        <v>104</v>
      </c>
      <c r="T193">
        <v>0.27</v>
      </c>
      <c r="U193"/>
      <c r="V193">
        <v>0.43</v>
      </c>
      <c r="W193"/>
      <c r="X193">
        <v>0.058</v>
      </c>
      <c r="Y193"/>
      <c r="Z193">
        <v>22</v>
      </c>
      <c r="AA193"/>
      <c r="AB193" t="s">
        <v>105</v>
      </c>
      <c r="AC193" t="s">
        <v>170</v>
      </c>
      <c r="AD193">
        <v>8</v>
      </c>
      <c r="AE193"/>
      <c r="AF193"/>
      <c r="AG193"/>
      <c r="AH193" t="s">
        <v>586</v>
      </c>
      <c r="AI193">
        <v>28</v>
      </c>
      <c r="AJ193">
        <v>8</v>
      </c>
      <c r="AK193" t="s">
        <v>86</v>
      </c>
      <c r="AL193">
        <v>40</v>
      </c>
      <c r="AM193">
        <v>5</v>
      </c>
      <c r="AN193"/>
      <c r="AO193"/>
      <c r="AP193"/>
      <c r="AQ193" t="s">
        <v>89</v>
      </c>
      <c r="AR193" t="s">
        <v>391</v>
      </c>
      <c r="AS193" t="s">
        <v>82</v>
      </c>
      <c r="AT193" t="s">
        <v>587</v>
      </c>
      <c r="AU193" t="s">
        <v>91</v>
      </c>
      <c r="AV193" t="s">
        <v>255</v>
      </c>
      <c r="AW193" t="s">
        <v>230</v>
      </c>
      <c r="AX193" t="s">
        <v>588</v>
      </c>
      <c r="AY193" t="s">
        <v>353</v>
      </c>
      <c r="AZ193">
        <v>0.0388477666666666</v>
      </c>
      <c r="BA193">
        <v>0.0510995799357549</v>
      </c>
      <c r="BB193">
        <v>5</v>
      </c>
      <c r="BC193">
        <v>0.0695324666666666</v>
      </c>
      <c r="BD193">
        <v>0.0124536693847294</v>
      </c>
      <c r="BE193">
        <v>5</v>
      </c>
      <c r="BF193">
        <v>0.0476309999999999</v>
      </c>
      <c r="BG193">
        <v>0.0563380281690141</v>
      </c>
      <c r="BH193">
        <v>5</v>
      </c>
      <c r="BI193">
        <v>0.0248684666666666</v>
      </c>
      <c r="BJ193">
        <v>0.00454657771188532</v>
      </c>
      <c r="BK193">
        <v>5</v>
      </c>
      <c r="BL193"/>
      <c r="BM193"/>
      <c r="BN193"/>
      <c r="BO193"/>
      <c r="BP193"/>
      <c r="BQ193"/>
      <c r="BR193"/>
      <c r="BS193"/>
      <c r="BT193"/>
      <c r="BU193"/>
      <c r="BV193"/>
      <c r="BW193"/>
      <c r="BX193"/>
    </row>
    <row r="194" s="1" customFormat="1" ht="15" customHeight="1" spans="1:76">
      <c r="A194">
        <v>64</v>
      </c>
      <c r="B194">
        <v>207</v>
      </c>
      <c r="C194" t="s">
        <v>581</v>
      </c>
      <c r="D194" t="s">
        <v>582</v>
      </c>
      <c r="E194">
        <v>2022</v>
      </c>
      <c r="F194" t="s">
        <v>583</v>
      </c>
      <c r="G194" t="s">
        <v>584</v>
      </c>
      <c r="H194" t="s">
        <v>80</v>
      </c>
      <c r="I194" t="s">
        <v>333</v>
      </c>
      <c r="J194" t="s">
        <v>96</v>
      </c>
      <c r="K194" t="s">
        <v>9</v>
      </c>
      <c r="L194" t="s">
        <v>146</v>
      </c>
      <c r="M194" t="s">
        <v>147</v>
      </c>
      <c r="N194" t="s">
        <v>488</v>
      </c>
      <c r="O194" t="s">
        <v>112</v>
      </c>
      <c r="P194" t="s">
        <v>149</v>
      </c>
      <c r="Q194" t="s">
        <v>102</v>
      </c>
      <c r="R194" t="s">
        <v>103</v>
      </c>
      <c r="S194" t="s">
        <v>104</v>
      </c>
      <c r="T194">
        <v>0.27</v>
      </c>
      <c r="U194"/>
      <c r="V194">
        <v>0.43</v>
      </c>
      <c r="W194"/>
      <c r="X194">
        <v>0.058</v>
      </c>
      <c r="Y194"/>
      <c r="Z194">
        <v>22</v>
      </c>
      <c r="AA194">
        <v>3.5</v>
      </c>
      <c r="AB194" t="s">
        <v>105</v>
      </c>
      <c r="AC194" t="s">
        <v>170</v>
      </c>
      <c r="AD194">
        <v>8</v>
      </c>
      <c r="AE194"/>
      <c r="AF194"/>
      <c r="AG194"/>
      <c r="AH194" t="s">
        <v>586</v>
      </c>
      <c r="AI194">
        <v>28</v>
      </c>
      <c r="AJ194">
        <v>8</v>
      </c>
      <c r="AK194" t="s">
        <v>86</v>
      </c>
      <c r="AL194">
        <v>40</v>
      </c>
      <c r="AM194">
        <v>5</v>
      </c>
      <c r="AN194"/>
      <c r="AO194"/>
      <c r="AP194"/>
      <c r="AQ194" t="s">
        <v>89</v>
      </c>
      <c r="AR194" t="s">
        <v>391</v>
      </c>
      <c r="AS194" t="s">
        <v>82</v>
      </c>
      <c r="AT194" t="s">
        <v>587</v>
      </c>
      <c r="AU194" t="s">
        <v>91</v>
      </c>
      <c r="AV194" t="s">
        <v>255</v>
      </c>
      <c r="AW194" t="s">
        <v>221</v>
      </c>
      <c r="AX194" t="s">
        <v>409</v>
      </c>
      <c r="AY194" t="s">
        <v>223</v>
      </c>
      <c r="AZ194">
        <v>0.0388477666666666</v>
      </c>
      <c r="BA194">
        <v>0.0510995799357549</v>
      </c>
      <c r="BB194">
        <v>5</v>
      </c>
      <c r="BC194">
        <v>0.0695324666666666</v>
      </c>
      <c r="BD194">
        <v>0.0124536693847294</v>
      </c>
      <c r="BE194">
        <v>5</v>
      </c>
      <c r="BF194">
        <v>0.0272264666666666</v>
      </c>
      <c r="BG194">
        <v>0.0302446256486286</v>
      </c>
      <c r="BH194">
        <v>5</v>
      </c>
      <c r="BI194">
        <v>0.0113467999999999</v>
      </c>
      <c r="BJ194">
        <v>0.019372374598468</v>
      </c>
      <c r="BK194">
        <v>5</v>
      </c>
      <c r="BL194"/>
      <c r="BM194"/>
      <c r="BN194"/>
      <c r="BO194"/>
      <c r="BP194"/>
      <c r="BQ194"/>
      <c r="BR194"/>
      <c r="BS194"/>
      <c r="BT194"/>
      <c r="BU194"/>
      <c r="BV194"/>
      <c r="BW194"/>
      <c r="BX194"/>
    </row>
    <row r="195" s="1" customFormat="1" ht="15" customHeight="1" spans="1:76">
      <c r="A195">
        <v>64</v>
      </c>
      <c r="B195">
        <v>208</v>
      </c>
      <c r="C195" t="s">
        <v>581</v>
      </c>
      <c r="D195" t="s">
        <v>582</v>
      </c>
      <c r="E195">
        <v>2022</v>
      </c>
      <c r="F195" t="s">
        <v>583</v>
      </c>
      <c r="G195" t="s">
        <v>584</v>
      </c>
      <c r="H195" t="s">
        <v>80</v>
      </c>
      <c r="I195" t="s">
        <v>333</v>
      </c>
      <c r="J195" t="s">
        <v>82</v>
      </c>
      <c r="K195" t="s">
        <v>585</v>
      </c>
      <c r="L195" t="s">
        <v>84</v>
      </c>
      <c r="M195" t="s">
        <v>84</v>
      </c>
      <c r="N195" t="s">
        <v>84</v>
      </c>
      <c r="O195" t="s">
        <v>84</v>
      </c>
      <c r="P195"/>
      <c r="Q195"/>
      <c r="R195"/>
      <c r="S195"/>
      <c r="T195">
        <v>0.27</v>
      </c>
      <c r="U195"/>
      <c r="V195"/>
      <c r="W195"/>
      <c r="X195">
        <v>0.058</v>
      </c>
      <c r="Y195"/>
      <c r="Z195">
        <v>22</v>
      </c>
      <c r="AA195">
        <v>3.5</v>
      </c>
      <c r="AB195" t="s">
        <v>105</v>
      </c>
      <c r="AC195" t="s">
        <v>170</v>
      </c>
      <c r="AD195">
        <v>8</v>
      </c>
      <c r="AE195"/>
      <c r="AF195"/>
      <c r="AG195"/>
      <c r="AH195" t="s">
        <v>586</v>
      </c>
      <c r="AI195">
        <v>28</v>
      </c>
      <c r="AJ195">
        <v>8</v>
      </c>
      <c r="AK195" t="s">
        <v>86</v>
      </c>
      <c r="AL195">
        <v>40</v>
      </c>
      <c r="AM195">
        <v>5</v>
      </c>
      <c r="AN195"/>
      <c r="AO195"/>
      <c r="AP195"/>
      <c r="AQ195" t="s">
        <v>89</v>
      </c>
      <c r="AR195" t="s">
        <v>391</v>
      </c>
      <c r="AS195" t="s">
        <v>82</v>
      </c>
      <c r="AT195" t="s">
        <v>587</v>
      </c>
      <c r="AU195" t="s">
        <v>221</v>
      </c>
      <c r="AV195" t="s">
        <v>222</v>
      </c>
      <c r="AW195" t="s">
        <v>230</v>
      </c>
      <c r="AX195" t="s">
        <v>588</v>
      </c>
      <c r="AY195" t="s">
        <v>410</v>
      </c>
      <c r="AZ195">
        <v>0.21075354573484</v>
      </c>
      <c r="BA195">
        <v>0.0511969964428755</v>
      </c>
      <c r="BB195">
        <v>5</v>
      </c>
      <c r="BC195">
        <v>0.320659198355601</v>
      </c>
      <c r="BD195">
        <v>0.0262079862743291</v>
      </c>
      <c r="BE195">
        <v>5</v>
      </c>
      <c r="BF195">
        <v>0.143131757451181</v>
      </c>
      <c r="BG195">
        <v>0.0390072353850477</v>
      </c>
      <c r="BH195">
        <v>5</v>
      </c>
      <c r="BI195">
        <v>0.211586844809866</v>
      </c>
      <c r="BJ195">
        <v>0.0792334468758784</v>
      </c>
      <c r="BK195">
        <v>5</v>
      </c>
      <c r="BL195"/>
      <c r="BM195"/>
      <c r="BN195"/>
      <c r="BO195"/>
      <c r="BP195"/>
      <c r="BQ195"/>
      <c r="BR195"/>
      <c r="BS195"/>
      <c r="BT195"/>
      <c r="BU195"/>
      <c r="BV195"/>
      <c r="BW195"/>
      <c r="BX195"/>
    </row>
    <row r="196" s="1" customFormat="1" ht="15" customHeight="1" spans="1:76">
      <c r="A196">
        <v>64</v>
      </c>
      <c r="B196">
        <v>209</v>
      </c>
      <c r="C196" t="s">
        <v>581</v>
      </c>
      <c r="D196" t="s">
        <v>582</v>
      </c>
      <c r="E196">
        <v>2022</v>
      </c>
      <c r="F196" t="s">
        <v>583</v>
      </c>
      <c r="G196" t="s">
        <v>584</v>
      </c>
      <c r="H196" t="s">
        <v>80</v>
      </c>
      <c r="I196" t="s">
        <v>333</v>
      </c>
      <c r="J196" t="s">
        <v>96</v>
      </c>
      <c r="K196" t="s">
        <v>9</v>
      </c>
      <c r="L196" t="s">
        <v>97</v>
      </c>
      <c r="M196" t="s">
        <v>98</v>
      </c>
      <c r="N196" t="s">
        <v>99</v>
      </c>
      <c r="O196" t="s">
        <v>112</v>
      </c>
      <c r="P196" t="s">
        <v>101</v>
      </c>
      <c r="Q196" t="s">
        <v>102</v>
      </c>
      <c r="R196" t="s">
        <v>103</v>
      </c>
      <c r="S196" t="s">
        <v>104</v>
      </c>
      <c r="T196">
        <v>0.27</v>
      </c>
      <c r="U196"/>
      <c r="V196"/>
      <c r="W196"/>
      <c r="X196">
        <v>0.058</v>
      </c>
      <c r="Y196"/>
      <c r="Z196">
        <v>22</v>
      </c>
      <c r="AA196">
        <v>3.5</v>
      </c>
      <c r="AB196" t="s">
        <v>105</v>
      </c>
      <c r="AC196" t="s">
        <v>170</v>
      </c>
      <c r="AD196">
        <v>8</v>
      </c>
      <c r="AE196"/>
      <c r="AF196"/>
      <c r="AG196"/>
      <c r="AH196" t="s">
        <v>586</v>
      </c>
      <c r="AI196">
        <v>28</v>
      </c>
      <c r="AJ196">
        <v>8</v>
      </c>
      <c r="AK196" t="s">
        <v>86</v>
      </c>
      <c r="AL196">
        <v>40</v>
      </c>
      <c r="AM196">
        <v>5</v>
      </c>
      <c r="AN196"/>
      <c r="AO196"/>
      <c r="AP196"/>
      <c r="AQ196" t="s">
        <v>89</v>
      </c>
      <c r="AR196" t="s">
        <v>391</v>
      </c>
      <c r="AS196" t="s">
        <v>82</v>
      </c>
      <c r="AT196" t="s">
        <v>587</v>
      </c>
      <c r="AU196" t="s">
        <v>221</v>
      </c>
      <c r="AV196" t="s">
        <v>222</v>
      </c>
      <c r="AW196" t="s">
        <v>230</v>
      </c>
      <c r="AX196" t="s">
        <v>588</v>
      </c>
      <c r="AY196" t="s">
        <v>410</v>
      </c>
      <c r="AZ196">
        <v>0.162580276134122</v>
      </c>
      <c r="BA196">
        <v>0.0105271930555619</v>
      </c>
      <c r="BB196">
        <v>5</v>
      </c>
      <c r="BC196">
        <v>0.295000394477317</v>
      </c>
      <c r="BD196">
        <v>0.086556920679063</v>
      </c>
      <c r="BE196">
        <v>5</v>
      </c>
      <c r="BF196">
        <v>0.0953364891518736</v>
      </c>
      <c r="BG196">
        <v>0.0257331385802618</v>
      </c>
      <c r="BH196">
        <v>5</v>
      </c>
      <c r="BI196">
        <v>0.17486607495069</v>
      </c>
      <c r="BJ196">
        <v>0.0462026806327435</v>
      </c>
      <c r="BK196">
        <v>5</v>
      </c>
      <c r="BL196"/>
      <c r="BM196"/>
      <c r="BN196"/>
      <c r="BO196"/>
      <c r="BP196"/>
      <c r="BQ196"/>
      <c r="BR196"/>
      <c r="BS196"/>
      <c r="BT196"/>
      <c r="BU196"/>
      <c r="BV196"/>
      <c r="BW196"/>
      <c r="BX196"/>
    </row>
    <row r="197" s="1" customFormat="1" ht="15" customHeight="1" spans="1:76">
      <c r="A197">
        <v>64</v>
      </c>
      <c r="B197">
        <v>210</v>
      </c>
      <c r="C197" t="s">
        <v>581</v>
      </c>
      <c r="D197" t="s">
        <v>582</v>
      </c>
      <c r="E197">
        <v>2022</v>
      </c>
      <c r="F197" t="s">
        <v>583</v>
      </c>
      <c r="G197" t="s">
        <v>584</v>
      </c>
      <c r="H197" t="s">
        <v>80</v>
      </c>
      <c r="I197" t="s">
        <v>333</v>
      </c>
      <c r="J197" t="s">
        <v>96</v>
      </c>
      <c r="K197" t="s">
        <v>9</v>
      </c>
      <c r="L197" t="s">
        <v>126</v>
      </c>
      <c r="M197" t="s">
        <v>242</v>
      </c>
      <c r="N197" t="s">
        <v>300</v>
      </c>
      <c r="O197" t="s">
        <v>112</v>
      </c>
      <c r="P197" t="s">
        <v>149</v>
      </c>
      <c r="Q197" t="s">
        <v>102</v>
      </c>
      <c r="R197" t="s">
        <v>103</v>
      </c>
      <c r="S197" t="s">
        <v>104</v>
      </c>
      <c r="T197">
        <v>0.27</v>
      </c>
      <c r="U197"/>
      <c r="V197">
        <v>0.43</v>
      </c>
      <c r="W197"/>
      <c r="X197">
        <v>0.058</v>
      </c>
      <c r="Y197"/>
      <c r="Z197">
        <v>22</v>
      </c>
      <c r="AA197"/>
      <c r="AB197" t="s">
        <v>105</v>
      </c>
      <c r="AC197" t="s">
        <v>170</v>
      </c>
      <c r="AD197">
        <v>8</v>
      </c>
      <c r="AE197"/>
      <c r="AF197"/>
      <c r="AG197"/>
      <c r="AH197" t="s">
        <v>586</v>
      </c>
      <c r="AI197">
        <v>28</v>
      </c>
      <c r="AJ197">
        <v>8</v>
      </c>
      <c r="AK197" t="s">
        <v>86</v>
      </c>
      <c r="AL197">
        <v>40</v>
      </c>
      <c r="AM197">
        <v>5</v>
      </c>
      <c r="AN197"/>
      <c r="AO197"/>
      <c r="AP197"/>
      <c r="AQ197" t="s">
        <v>89</v>
      </c>
      <c r="AR197" t="s">
        <v>391</v>
      </c>
      <c r="AS197" t="s">
        <v>82</v>
      </c>
      <c r="AT197" t="s">
        <v>587</v>
      </c>
      <c r="AU197" t="s">
        <v>91</v>
      </c>
      <c r="AV197" t="s">
        <v>255</v>
      </c>
      <c r="AW197" t="s">
        <v>230</v>
      </c>
      <c r="AX197" t="s">
        <v>588</v>
      </c>
      <c r="AY197" t="s">
        <v>353</v>
      </c>
      <c r="AZ197">
        <v>0.00450470360824743</v>
      </c>
      <c r="BA197">
        <v>0.00706900109282936</v>
      </c>
      <c r="BB197">
        <v>5</v>
      </c>
      <c r="BC197">
        <v>0.0336556701030928</v>
      </c>
      <c r="BD197">
        <v>0.0122274613497589</v>
      </c>
      <c r="BE197">
        <v>5</v>
      </c>
      <c r="BF197">
        <v>0.0245572164948453</v>
      </c>
      <c r="BG197">
        <v>0.0137558940184787</v>
      </c>
      <c r="BH197">
        <v>5</v>
      </c>
      <c r="BI197">
        <v>0.0183080541237113</v>
      </c>
      <c r="BJ197">
        <v>0.00171948675230986</v>
      </c>
      <c r="BK197">
        <v>5</v>
      </c>
      <c r="BL197"/>
      <c r="BM197"/>
      <c r="BN197"/>
      <c r="BO197"/>
      <c r="BP197"/>
      <c r="BQ197"/>
      <c r="BR197"/>
      <c r="BS197"/>
      <c r="BT197"/>
      <c r="BU197"/>
      <c r="BV197"/>
      <c r="BW197"/>
      <c r="BX197"/>
    </row>
    <row r="198" s="1" customFormat="1" ht="15" customHeight="1" spans="1:76">
      <c r="A198">
        <v>64</v>
      </c>
      <c r="B198">
        <v>211</v>
      </c>
      <c r="C198" t="s">
        <v>581</v>
      </c>
      <c r="D198" t="s">
        <v>582</v>
      </c>
      <c r="E198">
        <v>2022</v>
      </c>
      <c r="F198" t="s">
        <v>583</v>
      </c>
      <c r="G198" t="s">
        <v>584</v>
      </c>
      <c r="H198" t="s">
        <v>80</v>
      </c>
      <c r="I198" t="s">
        <v>333</v>
      </c>
      <c r="J198" t="s">
        <v>96</v>
      </c>
      <c r="K198" t="s">
        <v>9</v>
      </c>
      <c r="L198" t="s">
        <v>126</v>
      </c>
      <c r="M198" t="s">
        <v>242</v>
      </c>
      <c r="N198" t="s">
        <v>300</v>
      </c>
      <c r="O198" t="s">
        <v>112</v>
      </c>
      <c r="P198" t="s">
        <v>149</v>
      </c>
      <c r="Q198" t="s">
        <v>102</v>
      </c>
      <c r="R198" t="s">
        <v>103</v>
      </c>
      <c r="S198" t="s">
        <v>104</v>
      </c>
      <c r="T198">
        <v>0.27</v>
      </c>
      <c r="U198"/>
      <c r="V198">
        <v>0.43</v>
      </c>
      <c r="W198"/>
      <c r="X198">
        <v>0.058</v>
      </c>
      <c r="Y198"/>
      <c r="Z198">
        <v>22</v>
      </c>
      <c r="AA198">
        <v>3.5</v>
      </c>
      <c r="AB198" t="s">
        <v>105</v>
      </c>
      <c r="AC198" t="s">
        <v>170</v>
      </c>
      <c r="AD198">
        <v>8</v>
      </c>
      <c r="AE198"/>
      <c r="AF198"/>
      <c r="AG198"/>
      <c r="AH198" t="s">
        <v>586</v>
      </c>
      <c r="AI198">
        <v>28</v>
      </c>
      <c r="AJ198">
        <v>8</v>
      </c>
      <c r="AK198" t="s">
        <v>86</v>
      </c>
      <c r="AL198">
        <v>40</v>
      </c>
      <c r="AM198">
        <v>5</v>
      </c>
      <c r="AN198"/>
      <c r="AO198"/>
      <c r="AP198"/>
      <c r="AQ198" t="s">
        <v>89</v>
      </c>
      <c r="AR198" t="s">
        <v>391</v>
      </c>
      <c r="AS198" t="s">
        <v>82</v>
      </c>
      <c r="AT198" t="s">
        <v>587</v>
      </c>
      <c r="AU198" t="s">
        <v>91</v>
      </c>
      <c r="AV198" t="s">
        <v>255</v>
      </c>
      <c r="AW198" t="s">
        <v>221</v>
      </c>
      <c r="AX198" t="s">
        <v>409</v>
      </c>
      <c r="AY198" t="s">
        <v>223</v>
      </c>
      <c r="AZ198">
        <v>0.00450470360824743</v>
      </c>
      <c r="BA198">
        <v>0.00706900109282936</v>
      </c>
      <c r="BB198">
        <v>5</v>
      </c>
      <c r="BC198">
        <v>0.0336556701030928</v>
      </c>
      <c r="BD198">
        <v>0.0122274613497589</v>
      </c>
      <c r="BE198">
        <v>5</v>
      </c>
      <c r="BF198">
        <v>0.0501947164948453</v>
      </c>
      <c r="BG198">
        <v>0.0531130352380152</v>
      </c>
      <c r="BH198">
        <v>5</v>
      </c>
      <c r="BI198">
        <v>0.0107559922680412</v>
      </c>
      <c r="BJ198">
        <v>0.00324791942102967</v>
      </c>
      <c r="BK198">
        <v>5</v>
      </c>
      <c r="BL198"/>
      <c r="BM198"/>
      <c r="BN198"/>
      <c r="BO198"/>
      <c r="BP198"/>
      <c r="BQ198"/>
      <c r="BR198"/>
      <c r="BS198"/>
      <c r="BT198"/>
      <c r="BU198"/>
      <c r="BV198"/>
      <c r="BW198"/>
      <c r="BX198"/>
    </row>
    <row r="199" s="1" customFormat="1" ht="15" customHeight="1" spans="1:76">
      <c r="A199">
        <v>64</v>
      </c>
      <c r="B199">
        <v>212</v>
      </c>
      <c r="C199" t="s">
        <v>581</v>
      </c>
      <c r="D199" t="s">
        <v>582</v>
      </c>
      <c r="E199">
        <v>2022</v>
      </c>
      <c r="F199" t="s">
        <v>583</v>
      </c>
      <c r="G199" t="s">
        <v>584</v>
      </c>
      <c r="H199" t="s">
        <v>80</v>
      </c>
      <c r="I199" t="s">
        <v>333</v>
      </c>
      <c r="J199" t="s">
        <v>96</v>
      </c>
      <c r="K199" t="s">
        <v>9</v>
      </c>
      <c r="L199" t="s">
        <v>146</v>
      </c>
      <c r="M199" t="s">
        <v>147</v>
      </c>
      <c r="N199" t="s">
        <v>488</v>
      </c>
      <c r="O199" t="s">
        <v>112</v>
      </c>
      <c r="P199" t="s">
        <v>149</v>
      </c>
      <c r="Q199" t="s">
        <v>102</v>
      </c>
      <c r="R199" t="s">
        <v>103</v>
      </c>
      <c r="S199" t="s">
        <v>104</v>
      </c>
      <c r="T199">
        <v>0.27</v>
      </c>
      <c r="U199"/>
      <c r="V199"/>
      <c r="W199"/>
      <c r="X199">
        <v>0.058</v>
      </c>
      <c r="Y199"/>
      <c r="Z199">
        <v>22</v>
      </c>
      <c r="AA199">
        <v>3.5</v>
      </c>
      <c r="AB199" t="s">
        <v>105</v>
      </c>
      <c r="AC199" t="s">
        <v>170</v>
      </c>
      <c r="AD199">
        <v>8</v>
      </c>
      <c r="AE199"/>
      <c r="AF199"/>
      <c r="AG199"/>
      <c r="AH199" t="s">
        <v>586</v>
      </c>
      <c r="AI199">
        <v>28</v>
      </c>
      <c r="AJ199">
        <v>8</v>
      </c>
      <c r="AK199" t="s">
        <v>86</v>
      </c>
      <c r="AL199">
        <v>40</v>
      </c>
      <c r="AM199">
        <v>5</v>
      </c>
      <c r="AN199"/>
      <c r="AO199"/>
      <c r="AP199"/>
      <c r="AQ199" t="s">
        <v>89</v>
      </c>
      <c r="AR199" t="s">
        <v>391</v>
      </c>
      <c r="AS199" t="s">
        <v>82</v>
      </c>
      <c r="AT199" t="s">
        <v>587</v>
      </c>
      <c r="AU199" t="s">
        <v>221</v>
      </c>
      <c r="AV199" t="s">
        <v>222</v>
      </c>
      <c r="AW199" t="s">
        <v>230</v>
      </c>
      <c r="AX199" t="s">
        <v>588</v>
      </c>
      <c r="AY199" t="s">
        <v>410</v>
      </c>
      <c r="AZ199">
        <v>0.0388477666666666</v>
      </c>
      <c r="BA199">
        <v>0.0510995799357549</v>
      </c>
      <c r="BB199">
        <v>5</v>
      </c>
      <c r="BC199">
        <v>0.0272264666666666</v>
      </c>
      <c r="BD199">
        <v>0.0302446256486286</v>
      </c>
      <c r="BE199">
        <v>5</v>
      </c>
      <c r="BF199">
        <v>0.0476309999999999</v>
      </c>
      <c r="BG199">
        <v>0.0563380281690141</v>
      </c>
      <c r="BH199">
        <v>5</v>
      </c>
      <c r="BI199">
        <v>0.0368693999999999</v>
      </c>
      <c r="BJ199">
        <v>0.0215468248085</v>
      </c>
      <c r="BK199">
        <v>5</v>
      </c>
      <c r="BL199"/>
      <c r="BM199"/>
      <c r="BN199"/>
      <c r="BO199"/>
      <c r="BP199"/>
      <c r="BQ199"/>
      <c r="BR199"/>
      <c r="BS199"/>
      <c r="BT199"/>
      <c r="BU199"/>
      <c r="BV199"/>
      <c r="BW199"/>
      <c r="BX199"/>
    </row>
    <row r="200" s="1" customFormat="1" ht="15" customHeight="1" spans="1:76">
      <c r="A200">
        <v>64</v>
      </c>
      <c r="B200">
        <v>213</v>
      </c>
      <c r="C200" t="s">
        <v>581</v>
      </c>
      <c r="D200" t="s">
        <v>582</v>
      </c>
      <c r="E200">
        <v>2022</v>
      </c>
      <c r="F200" t="s">
        <v>583</v>
      </c>
      <c r="G200" t="s">
        <v>584</v>
      </c>
      <c r="H200" t="s">
        <v>80</v>
      </c>
      <c r="I200" t="s">
        <v>333</v>
      </c>
      <c r="J200" t="s">
        <v>96</v>
      </c>
      <c r="K200" t="s">
        <v>9</v>
      </c>
      <c r="L200" t="s">
        <v>126</v>
      </c>
      <c r="M200" t="s">
        <v>242</v>
      </c>
      <c r="N200" t="s">
        <v>300</v>
      </c>
      <c r="O200" t="s">
        <v>112</v>
      </c>
      <c r="P200" t="s">
        <v>149</v>
      </c>
      <c r="Q200" t="s">
        <v>102</v>
      </c>
      <c r="R200" t="s">
        <v>103</v>
      </c>
      <c r="S200" t="s">
        <v>104</v>
      </c>
      <c r="T200">
        <v>0.27</v>
      </c>
      <c r="U200"/>
      <c r="V200"/>
      <c r="W200"/>
      <c r="X200">
        <v>0.058</v>
      </c>
      <c r="Y200"/>
      <c r="Z200">
        <v>22</v>
      </c>
      <c r="AA200">
        <v>3.5</v>
      </c>
      <c r="AB200" t="s">
        <v>105</v>
      </c>
      <c r="AC200" t="s">
        <v>170</v>
      </c>
      <c r="AD200">
        <v>8</v>
      </c>
      <c r="AE200"/>
      <c r="AF200"/>
      <c r="AG200"/>
      <c r="AH200" t="s">
        <v>586</v>
      </c>
      <c r="AI200">
        <v>28</v>
      </c>
      <c r="AJ200">
        <v>8</v>
      </c>
      <c r="AK200" t="s">
        <v>86</v>
      </c>
      <c r="AL200">
        <v>40</v>
      </c>
      <c r="AM200">
        <v>5</v>
      </c>
      <c r="AN200"/>
      <c r="AO200"/>
      <c r="AP200"/>
      <c r="AQ200" t="s">
        <v>89</v>
      </c>
      <c r="AR200" t="s">
        <v>391</v>
      </c>
      <c r="AS200" t="s">
        <v>82</v>
      </c>
      <c r="AT200" t="s">
        <v>587</v>
      </c>
      <c r="AU200" t="s">
        <v>221</v>
      </c>
      <c r="AV200" t="s">
        <v>222</v>
      </c>
      <c r="AW200" t="s">
        <v>230</v>
      </c>
      <c r="AX200" t="s">
        <v>588</v>
      </c>
      <c r="AY200" t="s">
        <v>410</v>
      </c>
      <c r="AZ200">
        <v>0.00450470360824743</v>
      </c>
      <c r="BA200">
        <v>0.00706900109282936</v>
      </c>
      <c r="BB200">
        <v>5</v>
      </c>
      <c r="BC200">
        <v>0.0501947164948453</v>
      </c>
      <c r="BD200">
        <v>0.0531130352380152</v>
      </c>
      <c r="BE200">
        <v>5</v>
      </c>
      <c r="BF200">
        <v>0.0245572164948453</v>
      </c>
      <c r="BG200">
        <v>0.0137558940184787</v>
      </c>
      <c r="BH200">
        <v>5</v>
      </c>
      <c r="BI200">
        <v>0.0187850515463917</v>
      </c>
      <c r="BJ200">
        <v>0.010699028681039</v>
      </c>
      <c r="BK200">
        <v>5</v>
      </c>
      <c r="BL200"/>
      <c r="BM200"/>
      <c r="BN200"/>
      <c r="BO200"/>
      <c r="BP200"/>
      <c r="BQ200"/>
      <c r="BR200"/>
      <c r="BS200"/>
      <c r="BT200"/>
      <c r="BU200"/>
      <c r="BV200"/>
      <c r="BW200"/>
      <c r="BX200"/>
    </row>
    <row r="201" s="1" customFormat="1" ht="15" customHeight="1" spans="1:76">
      <c r="A201">
        <v>65</v>
      </c>
      <c r="B201">
        <v>214</v>
      </c>
      <c r="C201" t="s">
        <v>590</v>
      </c>
      <c r="D201" t="s">
        <v>591</v>
      </c>
      <c r="E201">
        <v>2015</v>
      </c>
      <c r="F201" t="s">
        <v>592</v>
      </c>
      <c r="G201" t="s">
        <v>593</v>
      </c>
      <c r="H201" t="s">
        <v>80</v>
      </c>
      <c r="I201" t="s">
        <v>81</v>
      </c>
      <c r="J201" t="s">
        <v>96</v>
      </c>
      <c r="K201" t="s">
        <v>9</v>
      </c>
      <c r="L201" t="s">
        <v>443</v>
      </c>
      <c r="M201" t="s">
        <v>444</v>
      </c>
      <c r="N201" t="s">
        <v>445</v>
      </c>
      <c r="O201" t="s">
        <v>112</v>
      </c>
      <c r="P201" t="s">
        <v>149</v>
      </c>
      <c r="Q201" t="s">
        <v>210</v>
      </c>
      <c r="R201" t="s">
        <v>103</v>
      </c>
      <c r="S201" t="s">
        <v>104</v>
      </c>
      <c r="T201">
        <v>0.3</v>
      </c>
      <c r="U201"/>
      <c r="V201">
        <v>0.12</v>
      </c>
      <c r="W201"/>
      <c r="X201">
        <v>0.007</v>
      </c>
      <c r="Y201"/>
      <c r="Z201">
        <v>12.23</v>
      </c>
      <c r="AA201"/>
      <c r="AB201" t="s">
        <v>105</v>
      </c>
      <c r="AC201" t="s">
        <v>105</v>
      </c>
      <c r="AD201">
        <v>8.07</v>
      </c>
      <c r="AE201"/>
      <c r="AF201">
        <v>45.2666</v>
      </c>
      <c r="AG201">
        <v>-124.0774</v>
      </c>
      <c r="AH201" t="s">
        <v>594</v>
      </c>
      <c r="AI201">
        <v>122</v>
      </c>
      <c r="AJ201">
        <v>508.68</v>
      </c>
      <c r="AK201" t="s">
        <v>86</v>
      </c>
      <c r="AL201">
        <v>12</v>
      </c>
      <c r="AM201">
        <v>3</v>
      </c>
      <c r="AN201" t="s">
        <v>270</v>
      </c>
      <c r="AO201" t="s">
        <v>262</v>
      </c>
      <c r="AP201" t="s">
        <v>118</v>
      </c>
      <c r="AQ201" t="s">
        <v>89</v>
      </c>
      <c r="AR201" t="s">
        <v>89</v>
      </c>
      <c r="AS201" t="s">
        <v>82</v>
      </c>
      <c r="AT201" t="s">
        <v>587</v>
      </c>
      <c r="AU201" t="s">
        <v>91</v>
      </c>
      <c r="AV201" t="s">
        <v>92</v>
      </c>
      <c r="AW201" t="s">
        <v>119</v>
      </c>
      <c r="AX201" t="s">
        <v>175</v>
      </c>
      <c r="AY201" t="s">
        <v>163</v>
      </c>
      <c r="AZ201">
        <v>0.237351598</v>
      </c>
      <c r="BA201">
        <v>0.044268694</v>
      </c>
      <c r="BB201">
        <v>3</v>
      </c>
      <c r="BC201">
        <v>0.173515982</v>
      </c>
      <c r="BD201">
        <v>0.024621486</v>
      </c>
      <c r="BE201">
        <v>3</v>
      </c>
      <c r="BF201">
        <v>0.033333333</v>
      </c>
      <c r="BG201">
        <v>0.005343051</v>
      </c>
      <c r="BH201">
        <v>3</v>
      </c>
      <c r="BI201">
        <v>0.027579909</v>
      </c>
      <c r="BJ201">
        <v>0.013380788</v>
      </c>
      <c r="BK201">
        <v>3</v>
      </c>
      <c r="BL201"/>
      <c r="BM201"/>
      <c r="BN201"/>
      <c r="BO201"/>
      <c r="BP201"/>
      <c r="BQ201"/>
      <c r="BR201"/>
      <c r="BS201"/>
      <c r="BT201"/>
      <c r="BU201"/>
      <c r="BV201"/>
      <c r="BW201"/>
      <c r="BX201"/>
    </row>
    <row r="202" s="1" customFormat="1" ht="15" customHeight="1" spans="1:76">
      <c r="A202">
        <v>65</v>
      </c>
      <c r="B202">
        <v>215</v>
      </c>
      <c r="C202" t="s">
        <v>590</v>
      </c>
      <c r="D202" t="s">
        <v>591</v>
      </c>
      <c r="E202">
        <v>2015</v>
      </c>
      <c r="F202" t="s">
        <v>592</v>
      </c>
      <c r="G202" t="s">
        <v>593</v>
      </c>
      <c r="H202" t="s">
        <v>140</v>
      </c>
      <c r="I202" t="s">
        <v>81</v>
      </c>
      <c r="J202" t="s">
        <v>96</v>
      </c>
      <c r="K202" t="s">
        <v>9</v>
      </c>
      <c r="L202" t="s">
        <v>443</v>
      </c>
      <c r="M202" t="s">
        <v>444</v>
      </c>
      <c r="N202" t="s">
        <v>445</v>
      </c>
      <c r="O202" t="s">
        <v>112</v>
      </c>
      <c r="P202" t="s">
        <v>149</v>
      </c>
      <c r="Q202" t="s">
        <v>210</v>
      </c>
      <c r="R202" t="s">
        <v>103</v>
      </c>
      <c r="S202" t="s">
        <v>104</v>
      </c>
      <c r="T202">
        <v>0.17</v>
      </c>
      <c r="U202"/>
      <c r="V202">
        <f>0.78-0.17</f>
        <v>0.61</v>
      </c>
      <c r="W202"/>
      <c r="X202">
        <v>0.01</v>
      </c>
      <c r="Y202"/>
      <c r="Z202">
        <v>13.53</v>
      </c>
      <c r="AA202"/>
      <c r="AB202" t="s">
        <v>105</v>
      </c>
      <c r="AC202" t="s">
        <v>105</v>
      </c>
      <c r="AD202">
        <v>8.25</v>
      </c>
      <c r="AE202"/>
      <c r="AF202">
        <v>43.3675</v>
      </c>
      <c r="AG202">
        <v>-124.303056</v>
      </c>
      <c r="AH202" t="s">
        <v>594</v>
      </c>
      <c r="AI202">
        <v>122</v>
      </c>
      <c r="AJ202"/>
      <c r="AK202"/>
      <c r="AL202">
        <v>12</v>
      </c>
      <c r="AM202">
        <v>3</v>
      </c>
      <c r="AN202" t="s">
        <v>270</v>
      </c>
      <c r="AO202" t="s">
        <v>262</v>
      </c>
      <c r="AP202" t="s">
        <v>118</v>
      </c>
      <c r="AQ202" t="s">
        <v>89</v>
      </c>
      <c r="AR202" t="s">
        <v>89</v>
      </c>
      <c r="AS202" t="s">
        <v>82</v>
      </c>
      <c r="AT202" t="s">
        <v>587</v>
      </c>
      <c r="AU202" t="s">
        <v>91</v>
      </c>
      <c r="AV202" t="s">
        <v>92</v>
      </c>
      <c r="AW202" t="s">
        <v>119</v>
      </c>
      <c r="AX202" t="s">
        <v>175</v>
      </c>
      <c r="AY202" t="s">
        <v>163</v>
      </c>
      <c r="AZ202">
        <v>28.65497076</v>
      </c>
      <c r="BA202">
        <v>4.662619711</v>
      </c>
      <c r="BB202">
        <v>3</v>
      </c>
      <c r="BC202">
        <v>23.23586745</v>
      </c>
      <c r="BD202">
        <v>18.21675756</v>
      </c>
      <c r="BE202">
        <v>3</v>
      </c>
      <c r="BF202">
        <v>21.13060429</v>
      </c>
      <c r="BG202">
        <v>5.866733975</v>
      </c>
      <c r="BH202">
        <v>3</v>
      </c>
      <c r="BI202">
        <v>19.92202729</v>
      </c>
      <c r="BJ202">
        <v>10.55897036</v>
      </c>
      <c r="BK202">
        <v>3</v>
      </c>
      <c r="BL202"/>
      <c r="BM202"/>
      <c r="BN202"/>
      <c r="BO202"/>
      <c r="BP202"/>
      <c r="BQ202"/>
      <c r="BR202"/>
      <c r="BS202"/>
      <c r="BT202"/>
      <c r="BU202"/>
      <c r="BV202"/>
      <c r="BW202"/>
      <c r="BX202"/>
    </row>
    <row r="203" s="1" customFormat="1" ht="15" customHeight="1" spans="1:76">
      <c r="A203">
        <v>66</v>
      </c>
      <c r="B203">
        <v>216</v>
      </c>
      <c r="C203" t="s">
        <v>595</v>
      </c>
      <c r="D203" t="s">
        <v>596</v>
      </c>
      <c r="E203">
        <v>2019</v>
      </c>
      <c r="F203" t="s">
        <v>540</v>
      </c>
      <c r="G203" t="s">
        <v>597</v>
      </c>
      <c r="H203" t="s">
        <v>198</v>
      </c>
      <c r="I203" t="s">
        <v>541</v>
      </c>
      <c r="J203" t="s">
        <v>82</v>
      </c>
      <c r="K203" t="s">
        <v>598</v>
      </c>
      <c r="L203" t="s">
        <v>84</v>
      </c>
      <c r="M203" t="s">
        <v>84</v>
      </c>
      <c r="N203" t="s">
        <v>84</v>
      </c>
      <c r="O203" t="s">
        <v>84</v>
      </c>
      <c r="P203"/>
      <c r="Q203"/>
      <c r="R203"/>
      <c r="S203"/>
      <c r="T203">
        <v>1.5</v>
      </c>
      <c r="U203"/>
      <c r="V203">
        <v>13.5</v>
      </c>
      <c r="W203"/>
      <c r="X203"/>
      <c r="Y203"/>
      <c r="Z203">
        <v>23</v>
      </c>
      <c r="AA203">
        <v>4</v>
      </c>
      <c r="AB203" t="s">
        <v>105</v>
      </c>
      <c r="AC203" t="s">
        <v>105</v>
      </c>
      <c r="AD203"/>
      <c r="AE203"/>
      <c r="AF203">
        <v>39.476949</v>
      </c>
      <c r="AG203">
        <v>-0.386729</v>
      </c>
      <c r="AH203" t="s">
        <v>130</v>
      </c>
      <c r="AI203">
        <v>15</v>
      </c>
      <c r="AJ203">
        <v>2.355</v>
      </c>
      <c r="AK203" t="s">
        <v>86</v>
      </c>
      <c r="AL203">
        <v>20</v>
      </c>
      <c r="AM203">
        <v>5</v>
      </c>
      <c r="AN203"/>
      <c r="AO203"/>
      <c r="AP203"/>
      <c r="AQ203" t="s">
        <v>185</v>
      </c>
      <c r="AR203" t="s">
        <v>186</v>
      </c>
      <c r="AS203" t="s">
        <v>82</v>
      </c>
      <c r="AT203" t="s">
        <v>241</v>
      </c>
      <c r="AU203" t="s">
        <v>221</v>
      </c>
      <c r="AV203" t="s">
        <v>409</v>
      </c>
      <c r="AW203" t="s">
        <v>119</v>
      </c>
      <c r="AX203" t="s">
        <v>599</v>
      </c>
      <c r="AY203" t="s">
        <v>412</v>
      </c>
      <c r="AZ203">
        <v>0.136023985239852</v>
      </c>
      <c r="BA203">
        <f>(0.145710332103321-0.125230627306273)*3^(1/2)</f>
        <v>0.0354718892324992</v>
      </c>
      <c r="BB203">
        <v>3</v>
      </c>
      <c r="BC203">
        <v>0.126337638376383</v>
      </c>
      <c r="BD203">
        <f>(0.134086715867158-0.118865313653136)*3^(1/2)</f>
        <v>0.0263642419971275</v>
      </c>
      <c r="BE203">
        <v>3</v>
      </c>
      <c r="BF203">
        <v>0.082610701107011</v>
      </c>
      <c r="BG203">
        <f>(0.0878690036900369-0.0759686346863468)*3^(1/2)</f>
        <v>0.0206120437432091</v>
      </c>
      <c r="BH203">
        <v>3</v>
      </c>
      <c r="BI203">
        <v>0.122186346863468</v>
      </c>
      <c r="BJ203">
        <f>(0.131042435424354-0.1125)*3^(1/2)</f>
        <v>0.0321164402510461</v>
      </c>
      <c r="BK203">
        <v>3</v>
      </c>
      <c r="BL203"/>
      <c r="BM203"/>
      <c r="BN203"/>
      <c r="BO203"/>
      <c r="BP203"/>
      <c r="BQ203"/>
      <c r="BR203"/>
      <c r="BS203"/>
      <c r="BT203"/>
      <c r="BU203"/>
      <c r="BV203"/>
      <c r="BW203"/>
      <c r="BX203"/>
    </row>
    <row r="204" s="1" customFormat="1" ht="15" customHeight="1" spans="1:76">
      <c r="A204">
        <v>66</v>
      </c>
      <c r="B204">
        <v>217</v>
      </c>
      <c r="C204" t="s">
        <v>595</v>
      </c>
      <c r="D204" t="s">
        <v>596</v>
      </c>
      <c r="E204">
        <v>2019</v>
      </c>
      <c r="F204" t="s">
        <v>540</v>
      </c>
      <c r="G204" t="s">
        <v>597</v>
      </c>
      <c r="H204" t="s">
        <v>198</v>
      </c>
      <c r="I204" t="s">
        <v>541</v>
      </c>
      <c r="J204" t="s">
        <v>82</v>
      </c>
      <c r="K204" t="s">
        <v>598</v>
      </c>
      <c r="L204" t="s">
        <v>84</v>
      </c>
      <c r="M204" t="s">
        <v>84</v>
      </c>
      <c r="N204" t="s">
        <v>84</v>
      </c>
      <c r="O204" t="s">
        <v>84</v>
      </c>
      <c r="P204"/>
      <c r="Q204"/>
      <c r="R204"/>
      <c r="S204"/>
      <c r="T204">
        <v>1.5</v>
      </c>
      <c r="U204"/>
      <c r="V204">
        <v>13.5</v>
      </c>
      <c r="W204"/>
      <c r="X204"/>
      <c r="Y204"/>
      <c r="Z204">
        <v>23</v>
      </c>
      <c r="AA204">
        <v>4</v>
      </c>
      <c r="AB204" t="s">
        <v>105</v>
      </c>
      <c r="AC204" t="s">
        <v>105</v>
      </c>
      <c r="AD204"/>
      <c r="AE204"/>
      <c r="AF204">
        <v>39.476949</v>
      </c>
      <c r="AG204">
        <v>-0.386729</v>
      </c>
      <c r="AH204" t="s">
        <v>130</v>
      </c>
      <c r="AI204">
        <v>15</v>
      </c>
      <c r="AJ204">
        <v>2.355</v>
      </c>
      <c r="AK204" t="s">
        <v>86</v>
      </c>
      <c r="AL204">
        <v>20</v>
      </c>
      <c r="AM204">
        <v>5</v>
      </c>
      <c r="AN204"/>
      <c r="AO204"/>
      <c r="AP204"/>
      <c r="AQ204" t="s">
        <v>185</v>
      </c>
      <c r="AR204" t="s">
        <v>186</v>
      </c>
      <c r="AS204" t="s">
        <v>82</v>
      </c>
      <c r="AT204" t="s">
        <v>241</v>
      </c>
      <c r="AU204" t="s">
        <v>91</v>
      </c>
      <c r="AV204" t="s">
        <v>92</v>
      </c>
      <c r="AW204" t="s">
        <v>119</v>
      </c>
      <c r="AX204" t="s">
        <v>599</v>
      </c>
      <c r="AY204" t="s">
        <v>163</v>
      </c>
      <c r="AZ204">
        <v>0.152597014925373</v>
      </c>
      <c r="BA204">
        <f>(0.157970149253731-0.145074626865671)*3^(1/2)</f>
        <v>0.0223356999662619</v>
      </c>
      <c r="BB204">
        <v>3</v>
      </c>
      <c r="BC204">
        <v>0.134597014925373</v>
      </c>
      <c r="BD204">
        <f>(0.139970149253731-0.126805970149253)*3^(1/2)</f>
        <v>0.0228010270488925</v>
      </c>
      <c r="BE204">
        <v>3</v>
      </c>
      <c r="BF204">
        <v>0.0940298507462686</v>
      </c>
      <c r="BG204">
        <f>(0.100477611940298-0.0851641791044776)*3^(1/2)</f>
        <v>0.0265236437099345</v>
      </c>
      <c r="BH204">
        <v>3</v>
      </c>
      <c r="BI204">
        <v>0.104238805970149</v>
      </c>
      <c r="BJ204">
        <f>(0.109611940298507-0.0964477611940298)*3^(1/2)</f>
        <v>0.0228010270488911</v>
      </c>
      <c r="BK204">
        <v>3</v>
      </c>
      <c r="BL204"/>
      <c r="BM204"/>
      <c r="BN204"/>
      <c r="BO204"/>
      <c r="BP204"/>
      <c r="BQ204"/>
      <c r="BR204"/>
      <c r="BS204"/>
      <c r="BT204"/>
      <c r="BU204"/>
      <c r="BV204"/>
      <c r="BW204"/>
      <c r="BX204"/>
    </row>
    <row r="205" s="1" customFormat="1" ht="15" customHeight="1" spans="1:76">
      <c r="A205">
        <v>66</v>
      </c>
      <c r="B205">
        <v>218</v>
      </c>
      <c r="C205" t="s">
        <v>595</v>
      </c>
      <c r="D205" t="s">
        <v>596</v>
      </c>
      <c r="E205">
        <v>2019</v>
      </c>
      <c r="F205" t="s">
        <v>540</v>
      </c>
      <c r="G205" t="s">
        <v>597</v>
      </c>
      <c r="H205" t="s">
        <v>198</v>
      </c>
      <c r="I205" t="s">
        <v>541</v>
      </c>
      <c r="J205" t="s">
        <v>96</v>
      </c>
      <c r="K205" t="s">
        <v>9</v>
      </c>
      <c r="L205" t="s">
        <v>542</v>
      </c>
      <c r="M205" t="s">
        <v>543</v>
      </c>
      <c r="N205" t="s">
        <v>548</v>
      </c>
      <c r="O205" t="s">
        <v>112</v>
      </c>
      <c r="P205" t="s">
        <v>149</v>
      </c>
      <c r="Q205" t="s">
        <v>210</v>
      </c>
      <c r="R205" t="s">
        <v>129</v>
      </c>
      <c r="S205" t="s">
        <v>104</v>
      </c>
      <c r="T205">
        <v>1.5</v>
      </c>
      <c r="U205"/>
      <c r="V205">
        <v>13.5</v>
      </c>
      <c r="W205"/>
      <c r="X205"/>
      <c r="Y205"/>
      <c r="Z205">
        <v>23</v>
      </c>
      <c r="AA205">
        <v>4</v>
      </c>
      <c r="AB205" t="s">
        <v>105</v>
      </c>
      <c r="AC205" t="s">
        <v>105</v>
      </c>
      <c r="AD205"/>
      <c r="AE205"/>
      <c r="AF205">
        <v>39.476949</v>
      </c>
      <c r="AG205">
        <v>-0.386729</v>
      </c>
      <c r="AH205" t="s">
        <v>130</v>
      </c>
      <c r="AI205">
        <v>15</v>
      </c>
      <c r="AJ205">
        <v>2.355</v>
      </c>
      <c r="AK205" t="s">
        <v>86</v>
      </c>
      <c r="AL205">
        <v>20</v>
      </c>
      <c r="AM205">
        <v>5</v>
      </c>
      <c r="AN205"/>
      <c r="AO205"/>
      <c r="AP205"/>
      <c r="AQ205" t="s">
        <v>185</v>
      </c>
      <c r="AR205" t="s">
        <v>186</v>
      </c>
      <c r="AS205" t="s">
        <v>82</v>
      </c>
      <c r="AT205" t="s">
        <v>241</v>
      </c>
      <c r="AU205" t="s">
        <v>221</v>
      </c>
      <c r="AV205" t="s">
        <v>409</v>
      </c>
      <c r="AW205" t="s">
        <v>119</v>
      </c>
      <c r="AX205" t="s">
        <v>599</v>
      </c>
      <c r="AY205" t="s">
        <v>412</v>
      </c>
      <c r="AZ205">
        <v>0.0805</v>
      </c>
      <c r="BA205">
        <v>0.0173108828967984</v>
      </c>
      <c r="BB205">
        <v>3</v>
      </c>
      <c r="BC205">
        <v>0.099</v>
      </c>
      <c r="BD205">
        <v>0.0139283882771841</v>
      </c>
      <c r="BE205">
        <v>3</v>
      </c>
      <c r="BF205">
        <v>0.05475</v>
      </c>
      <c r="BG205">
        <v>0.0144539498638492</v>
      </c>
      <c r="BH205">
        <v>3</v>
      </c>
      <c r="BI205">
        <v>0.069</v>
      </c>
      <c r="BJ205">
        <v>0.0195064092031312</v>
      </c>
      <c r="BK205">
        <v>3</v>
      </c>
      <c r="BL205"/>
      <c r="BM205"/>
      <c r="BN205"/>
      <c r="BO205"/>
      <c r="BP205"/>
      <c r="BQ205"/>
      <c r="BR205"/>
      <c r="BS205"/>
      <c r="BT205"/>
      <c r="BU205"/>
      <c r="BV205"/>
      <c r="BW205"/>
      <c r="BX205"/>
    </row>
    <row r="206" s="1" customFormat="1" ht="15" customHeight="1" spans="1:76">
      <c r="A206">
        <v>66</v>
      </c>
      <c r="B206">
        <v>219</v>
      </c>
      <c r="C206" t="s">
        <v>595</v>
      </c>
      <c r="D206" t="s">
        <v>596</v>
      </c>
      <c r="E206">
        <v>2019</v>
      </c>
      <c r="F206" t="s">
        <v>540</v>
      </c>
      <c r="G206" t="s">
        <v>597</v>
      </c>
      <c r="H206" t="s">
        <v>198</v>
      </c>
      <c r="I206" t="s">
        <v>541</v>
      </c>
      <c r="J206" t="s">
        <v>96</v>
      </c>
      <c r="K206" t="s">
        <v>9</v>
      </c>
      <c r="L206" t="s">
        <v>542</v>
      </c>
      <c r="M206" t="s">
        <v>543</v>
      </c>
      <c r="N206" t="s">
        <v>548</v>
      </c>
      <c r="O206" t="s">
        <v>112</v>
      </c>
      <c r="P206" t="s">
        <v>149</v>
      </c>
      <c r="Q206" t="s">
        <v>210</v>
      </c>
      <c r="R206" t="s">
        <v>129</v>
      </c>
      <c r="S206" t="s">
        <v>104</v>
      </c>
      <c r="T206">
        <v>1.5</v>
      </c>
      <c r="U206"/>
      <c r="V206">
        <v>13.5</v>
      </c>
      <c r="W206"/>
      <c r="X206"/>
      <c r="Y206"/>
      <c r="Z206">
        <v>23</v>
      </c>
      <c r="AA206">
        <v>4</v>
      </c>
      <c r="AB206" t="s">
        <v>105</v>
      </c>
      <c r="AC206" t="s">
        <v>105</v>
      </c>
      <c r="AD206"/>
      <c r="AE206"/>
      <c r="AF206">
        <v>39.476949</v>
      </c>
      <c r="AG206">
        <v>-0.386729</v>
      </c>
      <c r="AH206" t="s">
        <v>130</v>
      </c>
      <c r="AI206">
        <v>15</v>
      </c>
      <c r="AJ206">
        <v>2.355</v>
      </c>
      <c r="AK206" t="s">
        <v>86</v>
      </c>
      <c r="AL206">
        <v>20</v>
      </c>
      <c r="AM206">
        <v>5</v>
      </c>
      <c r="AN206"/>
      <c r="AO206"/>
      <c r="AP206"/>
      <c r="AQ206" t="s">
        <v>185</v>
      </c>
      <c r="AR206" t="s">
        <v>186</v>
      </c>
      <c r="AS206" t="s">
        <v>82</v>
      </c>
      <c r="AT206" t="s">
        <v>241</v>
      </c>
      <c r="AU206" t="s">
        <v>221</v>
      </c>
      <c r="AV206" t="s">
        <v>409</v>
      </c>
      <c r="AW206" t="s">
        <v>119</v>
      </c>
      <c r="AX206" t="s">
        <v>599</v>
      </c>
      <c r="AY206" t="s">
        <v>412</v>
      </c>
      <c r="AZ206">
        <v>0.1488</v>
      </c>
      <c r="BA206">
        <v>0.0312041663884809</v>
      </c>
      <c r="BB206">
        <v>3</v>
      </c>
      <c r="BC206">
        <v>0.1488</v>
      </c>
      <c r="BD206">
        <v>0.0312041663884809</v>
      </c>
      <c r="BE206">
        <v>3</v>
      </c>
      <c r="BF206">
        <v>0.0845</v>
      </c>
      <c r="BG206">
        <v>0.0102794292967395</v>
      </c>
      <c r="BH206">
        <v>3</v>
      </c>
      <c r="BI206">
        <v>0.1536</v>
      </c>
      <c r="BJ206">
        <v>0.0154045447839266</v>
      </c>
      <c r="BK206">
        <v>3</v>
      </c>
      <c r="BL206"/>
      <c r="BM206"/>
      <c r="BN206"/>
      <c r="BO206"/>
      <c r="BP206"/>
      <c r="BQ206"/>
      <c r="BR206"/>
      <c r="BS206"/>
      <c r="BT206"/>
      <c r="BU206"/>
      <c r="BV206"/>
      <c r="BW206"/>
      <c r="BX206"/>
    </row>
    <row r="207" s="1" customFormat="1" ht="15" customHeight="1" spans="1:76">
      <c r="A207">
        <v>66</v>
      </c>
      <c r="B207">
        <v>220</v>
      </c>
      <c r="C207" t="s">
        <v>595</v>
      </c>
      <c r="D207" t="s">
        <v>596</v>
      </c>
      <c r="E207">
        <v>2019</v>
      </c>
      <c r="F207" t="s">
        <v>540</v>
      </c>
      <c r="G207" t="s">
        <v>597</v>
      </c>
      <c r="H207" t="s">
        <v>198</v>
      </c>
      <c r="I207" t="s">
        <v>541</v>
      </c>
      <c r="J207" t="s">
        <v>96</v>
      </c>
      <c r="K207" t="s">
        <v>9</v>
      </c>
      <c r="L207" t="s">
        <v>542</v>
      </c>
      <c r="M207" t="s">
        <v>543</v>
      </c>
      <c r="N207" t="s">
        <v>549</v>
      </c>
      <c r="O207" t="s">
        <v>112</v>
      </c>
      <c r="P207" t="s">
        <v>149</v>
      </c>
      <c r="Q207" t="s">
        <v>210</v>
      </c>
      <c r="R207" t="s">
        <v>129</v>
      </c>
      <c r="S207" t="s">
        <v>104</v>
      </c>
      <c r="T207">
        <v>1.5</v>
      </c>
      <c r="U207"/>
      <c r="V207">
        <v>13.5</v>
      </c>
      <c r="W207"/>
      <c r="X207"/>
      <c r="Y207"/>
      <c r="Z207">
        <v>23</v>
      </c>
      <c r="AA207">
        <v>4</v>
      </c>
      <c r="AB207" t="s">
        <v>105</v>
      </c>
      <c r="AC207" t="s">
        <v>105</v>
      </c>
      <c r="AD207"/>
      <c r="AE207"/>
      <c r="AF207">
        <v>39.476949</v>
      </c>
      <c r="AG207">
        <v>-0.386729</v>
      </c>
      <c r="AH207" t="s">
        <v>130</v>
      </c>
      <c r="AI207">
        <v>15</v>
      </c>
      <c r="AJ207">
        <v>2.355</v>
      </c>
      <c r="AK207" t="s">
        <v>86</v>
      </c>
      <c r="AL207">
        <v>20</v>
      </c>
      <c r="AM207">
        <v>5</v>
      </c>
      <c r="AN207"/>
      <c r="AO207"/>
      <c r="AP207"/>
      <c r="AQ207" t="s">
        <v>185</v>
      </c>
      <c r="AR207" t="s">
        <v>186</v>
      </c>
      <c r="AS207" t="s">
        <v>82</v>
      </c>
      <c r="AT207" t="s">
        <v>241</v>
      </c>
      <c r="AU207" t="s">
        <v>221</v>
      </c>
      <c r="AV207" t="s">
        <v>409</v>
      </c>
      <c r="AW207" t="s">
        <v>119</v>
      </c>
      <c r="AX207" t="s">
        <v>599</v>
      </c>
      <c r="AY207" t="s">
        <v>412</v>
      </c>
      <c r="AZ207">
        <v>0.1295</v>
      </c>
      <c r="BA207">
        <v>0.00251661147842359</v>
      </c>
      <c r="BB207">
        <v>3</v>
      </c>
      <c r="BC207">
        <v>0.1265</v>
      </c>
      <c r="BD207">
        <v>0.042852460061627</v>
      </c>
      <c r="BE207">
        <v>3</v>
      </c>
      <c r="BF207">
        <v>0.1226</v>
      </c>
      <c r="BG207">
        <v>0.0193984535466104</v>
      </c>
      <c r="BH207">
        <v>3</v>
      </c>
      <c r="BI207">
        <v>0.1376</v>
      </c>
      <c r="BJ207">
        <v>0.0170088212407562</v>
      </c>
      <c r="BK207">
        <v>3</v>
      </c>
      <c r="BL207"/>
      <c r="BM207"/>
      <c r="BN207"/>
      <c r="BO207"/>
      <c r="BP207"/>
      <c r="BQ207"/>
      <c r="BR207"/>
      <c r="BS207"/>
      <c r="BT207"/>
      <c r="BU207"/>
      <c r="BV207"/>
      <c r="BW207"/>
      <c r="BX207"/>
    </row>
    <row r="208" s="1" customFormat="1" ht="15" customHeight="1" spans="1:76">
      <c r="A208">
        <v>66</v>
      </c>
      <c r="B208">
        <v>221</v>
      </c>
      <c r="C208" t="s">
        <v>595</v>
      </c>
      <c r="D208" t="s">
        <v>596</v>
      </c>
      <c r="E208">
        <v>2019</v>
      </c>
      <c r="F208" t="s">
        <v>540</v>
      </c>
      <c r="G208" t="s">
        <v>597</v>
      </c>
      <c r="H208" t="s">
        <v>198</v>
      </c>
      <c r="I208" t="s">
        <v>541</v>
      </c>
      <c r="J208" t="s">
        <v>96</v>
      </c>
      <c r="K208" t="s">
        <v>9</v>
      </c>
      <c r="L208" t="s">
        <v>542</v>
      </c>
      <c r="M208" t="s">
        <v>543</v>
      </c>
      <c r="N208" t="s">
        <v>549</v>
      </c>
      <c r="O208" t="s">
        <v>112</v>
      </c>
      <c r="P208" t="s">
        <v>149</v>
      </c>
      <c r="Q208" t="s">
        <v>210</v>
      </c>
      <c r="R208" t="s">
        <v>129</v>
      </c>
      <c r="S208" t="s">
        <v>104</v>
      </c>
      <c r="T208">
        <v>1.5</v>
      </c>
      <c r="U208"/>
      <c r="V208">
        <v>13.5</v>
      </c>
      <c r="W208"/>
      <c r="X208"/>
      <c r="Y208"/>
      <c r="Z208">
        <v>23</v>
      </c>
      <c r="AA208">
        <v>4</v>
      </c>
      <c r="AB208" t="s">
        <v>105</v>
      </c>
      <c r="AC208" t="s">
        <v>105</v>
      </c>
      <c r="AD208"/>
      <c r="AE208"/>
      <c r="AF208">
        <v>39.476949</v>
      </c>
      <c r="AG208">
        <v>-0.386729</v>
      </c>
      <c r="AH208" t="s">
        <v>130</v>
      </c>
      <c r="AI208">
        <v>15</v>
      </c>
      <c r="AJ208">
        <v>2.355</v>
      </c>
      <c r="AK208" t="s">
        <v>86</v>
      </c>
      <c r="AL208">
        <v>20</v>
      </c>
      <c r="AM208">
        <v>5</v>
      </c>
      <c r="AN208"/>
      <c r="AO208"/>
      <c r="AP208"/>
      <c r="AQ208" t="s">
        <v>185</v>
      </c>
      <c r="AR208" t="s">
        <v>186</v>
      </c>
      <c r="AS208" t="s">
        <v>82</v>
      </c>
      <c r="AT208" t="s">
        <v>241</v>
      </c>
      <c r="AU208" t="s">
        <v>221</v>
      </c>
      <c r="AV208" t="s">
        <v>409</v>
      </c>
      <c r="AW208" t="s">
        <v>119</v>
      </c>
      <c r="AX208" t="s">
        <v>599</v>
      </c>
      <c r="AY208" t="s">
        <v>412</v>
      </c>
      <c r="AZ208">
        <v>0.191</v>
      </c>
      <c r="BA208">
        <v>0.0112249721603218</v>
      </c>
      <c r="BB208">
        <v>3</v>
      </c>
      <c r="BC208">
        <v>0.1624</v>
      </c>
      <c r="BD208">
        <v>0.014842506526864</v>
      </c>
      <c r="BE208">
        <v>3</v>
      </c>
      <c r="BF208">
        <v>0.0818</v>
      </c>
      <c r="BG208">
        <v>0.0245804800604057</v>
      </c>
      <c r="BH208">
        <v>3</v>
      </c>
      <c r="BI208">
        <v>0.12925</v>
      </c>
      <c r="BJ208">
        <v>0.0519061653370773</v>
      </c>
      <c r="BK208">
        <v>3</v>
      </c>
      <c r="BL208"/>
      <c r="BM208"/>
      <c r="BN208"/>
      <c r="BO208"/>
      <c r="BP208"/>
      <c r="BQ208"/>
      <c r="BR208"/>
      <c r="BS208"/>
      <c r="BT208"/>
      <c r="BU208"/>
      <c r="BV208"/>
      <c r="BW208"/>
      <c r="BX208"/>
    </row>
    <row r="209" s="1" customFormat="1" ht="15" customHeight="1" spans="1:76">
      <c r="A209">
        <v>67</v>
      </c>
      <c r="B209">
        <v>222</v>
      </c>
      <c r="C209" t="s">
        <v>600</v>
      </c>
      <c r="D209" t="s">
        <v>601</v>
      </c>
      <c r="E209">
        <v>2017</v>
      </c>
      <c r="F209" t="s">
        <v>602</v>
      </c>
      <c r="G209" t="s">
        <v>125</v>
      </c>
      <c r="H209" t="s">
        <v>80</v>
      </c>
      <c r="I209" t="s">
        <v>110</v>
      </c>
      <c r="J209" t="s">
        <v>96</v>
      </c>
      <c r="K209" t="s">
        <v>9</v>
      </c>
      <c r="L209" t="s">
        <v>126</v>
      </c>
      <c r="M209" t="s">
        <v>168</v>
      </c>
      <c r="N209" t="s">
        <v>268</v>
      </c>
      <c r="O209" t="s">
        <v>112</v>
      </c>
      <c r="P209" t="s">
        <v>149</v>
      </c>
      <c r="Q209" t="s">
        <v>210</v>
      </c>
      <c r="R209" t="s">
        <v>103</v>
      </c>
      <c r="S209" t="s">
        <v>104</v>
      </c>
      <c r="T209"/>
      <c r="U209"/>
      <c r="V209"/>
      <c r="W209"/>
      <c r="X209"/>
      <c r="Y209"/>
      <c r="Z209"/>
      <c r="AA209"/>
      <c r="AB209"/>
      <c r="AC209"/>
      <c r="AD209"/>
      <c r="AE209"/>
      <c r="AF209">
        <v>30.25</v>
      </c>
      <c r="AG209">
        <v>114.55</v>
      </c>
      <c r="AH209" t="s">
        <v>603</v>
      </c>
      <c r="AI209">
        <v>63</v>
      </c>
      <c r="AJ209">
        <v>125.6</v>
      </c>
      <c r="AK209" t="s">
        <v>86</v>
      </c>
      <c r="AL209">
        <v>54</v>
      </c>
      <c r="AM209">
        <v>6</v>
      </c>
      <c r="AN209" t="s">
        <v>270</v>
      </c>
      <c r="AO209" t="s">
        <v>87</v>
      </c>
      <c r="AP209" t="s">
        <v>162</v>
      </c>
      <c r="AQ209" t="s">
        <v>89</v>
      </c>
      <c r="AR209" t="s">
        <v>89</v>
      </c>
      <c r="AS209" t="s">
        <v>82</v>
      </c>
      <c r="AT209" t="s">
        <v>90</v>
      </c>
      <c r="AU209" t="s">
        <v>119</v>
      </c>
      <c r="AV209" t="s">
        <v>432</v>
      </c>
      <c r="AW209" t="s">
        <v>93</v>
      </c>
      <c r="AX209" t="s">
        <v>604</v>
      </c>
      <c r="AY209" t="s">
        <v>95</v>
      </c>
      <c r="AZ209">
        <v>31.35135135</v>
      </c>
      <c r="BA209">
        <v>9.797958971</v>
      </c>
      <c r="BB209">
        <v>6</v>
      </c>
      <c r="BC209">
        <v>7.783783784</v>
      </c>
      <c r="BD209">
        <v>3.177716423</v>
      </c>
      <c r="BE209">
        <v>6</v>
      </c>
      <c r="BF209">
        <v>30.64864865</v>
      </c>
      <c r="BG209">
        <v>8.341505611</v>
      </c>
      <c r="BH209">
        <v>6</v>
      </c>
      <c r="BI209">
        <v>1.459459459</v>
      </c>
      <c r="BJ209">
        <v>1.059238808</v>
      </c>
      <c r="BK209">
        <v>6</v>
      </c>
      <c r="BL209"/>
      <c r="BM209"/>
      <c r="BN209"/>
      <c r="BO209"/>
      <c r="BP209"/>
      <c r="BQ209"/>
      <c r="BR209"/>
      <c r="BS209"/>
      <c r="BT209"/>
      <c r="BU209"/>
      <c r="BV209"/>
      <c r="BW209"/>
      <c r="BX209"/>
    </row>
    <row r="210" s="1" customFormat="1" ht="15" customHeight="1" spans="1:76">
      <c r="A210">
        <v>67</v>
      </c>
      <c r="B210">
        <v>223</v>
      </c>
      <c r="C210" t="s">
        <v>600</v>
      </c>
      <c r="D210" t="s">
        <v>601</v>
      </c>
      <c r="E210">
        <v>2017</v>
      </c>
      <c r="F210" t="s">
        <v>602</v>
      </c>
      <c r="G210" t="s">
        <v>125</v>
      </c>
      <c r="H210" t="s">
        <v>80</v>
      </c>
      <c r="I210" t="s">
        <v>110</v>
      </c>
      <c r="J210" t="s">
        <v>96</v>
      </c>
      <c r="K210" t="s">
        <v>9</v>
      </c>
      <c r="L210" t="s">
        <v>126</v>
      </c>
      <c r="M210" t="s">
        <v>168</v>
      </c>
      <c r="N210" t="s">
        <v>268</v>
      </c>
      <c r="O210" t="s">
        <v>112</v>
      </c>
      <c r="P210" t="s">
        <v>149</v>
      </c>
      <c r="Q210" t="s">
        <v>210</v>
      </c>
      <c r="R210" t="s">
        <v>103</v>
      </c>
      <c r="S210" t="s">
        <v>104</v>
      </c>
      <c r="T210"/>
      <c r="U210"/>
      <c r="V210"/>
      <c r="W210"/>
      <c r="X210"/>
      <c r="Y210"/>
      <c r="Z210"/>
      <c r="AA210"/>
      <c r="AB210"/>
      <c r="AC210"/>
      <c r="AD210"/>
      <c r="AE210"/>
      <c r="AF210">
        <v>30.25</v>
      </c>
      <c r="AG210">
        <v>114.55</v>
      </c>
      <c r="AH210" t="s">
        <v>603</v>
      </c>
      <c r="AI210">
        <v>63</v>
      </c>
      <c r="AJ210">
        <v>125.6</v>
      </c>
      <c r="AK210" t="s">
        <v>86</v>
      </c>
      <c r="AL210">
        <v>54</v>
      </c>
      <c r="AM210">
        <v>6</v>
      </c>
      <c r="AN210" t="s">
        <v>270</v>
      </c>
      <c r="AO210" t="s">
        <v>87</v>
      </c>
      <c r="AP210" t="s">
        <v>162</v>
      </c>
      <c r="AQ210" t="s">
        <v>89</v>
      </c>
      <c r="AR210" t="s">
        <v>89</v>
      </c>
      <c r="AS210" t="s">
        <v>82</v>
      </c>
      <c r="AT210" t="s">
        <v>90</v>
      </c>
      <c r="AU210" t="s">
        <v>119</v>
      </c>
      <c r="AV210" t="s">
        <v>432</v>
      </c>
      <c r="AW210" t="s">
        <v>93</v>
      </c>
      <c r="AX210" t="s">
        <v>604</v>
      </c>
      <c r="AY210" t="s">
        <v>95</v>
      </c>
      <c r="AZ210">
        <v>100.2145923</v>
      </c>
      <c r="BA210">
        <v>1.314103939</v>
      </c>
      <c r="BB210">
        <v>6</v>
      </c>
      <c r="BC210">
        <v>91.73819742</v>
      </c>
      <c r="BD210">
        <v>20.50002145</v>
      </c>
      <c r="BE210">
        <v>6</v>
      </c>
      <c r="BF210">
        <v>95.92274678</v>
      </c>
      <c r="BG210">
        <v>10.25001073</v>
      </c>
      <c r="BH210">
        <v>6</v>
      </c>
      <c r="BI210">
        <v>29.07725322</v>
      </c>
      <c r="BJ210">
        <v>10.25001073</v>
      </c>
      <c r="BK210">
        <v>6</v>
      </c>
      <c r="BL210"/>
      <c r="BM210"/>
      <c r="BN210"/>
      <c r="BO210"/>
      <c r="BP210"/>
      <c r="BQ210"/>
      <c r="BR210"/>
      <c r="BS210"/>
      <c r="BT210"/>
      <c r="BU210"/>
      <c r="BV210"/>
      <c r="BW210"/>
      <c r="BX210"/>
    </row>
    <row r="211" s="1" customFormat="1" ht="15" customHeight="1" spans="1:76">
      <c r="A211">
        <v>68</v>
      </c>
      <c r="B211">
        <v>224</v>
      </c>
      <c r="C211" t="s">
        <v>605</v>
      </c>
      <c r="D211" t="s">
        <v>606</v>
      </c>
      <c r="E211">
        <v>2015</v>
      </c>
      <c r="F211" t="s">
        <v>607</v>
      </c>
      <c r="G211" t="s">
        <v>125</v>
      </c>
      <c r="H211" t="s">
        <v>80</v>
      </c>
      <c r="I211" t="s">
        <v>541</v>
      </c>
      <c r="J211" t="s">
        <v>96</v>
      </c>
      <c r="K211" t="s">
        <v>9</v>
      </c>
      <c r="L211" t="s">
        <v>608</v>
      </c>
      <c r="M211" t="s">
        <v>609</v>
      </c>
      <c r="N211" t="s">
        <v>610</v>
      </c>
      <c r="O211" t="s">
        <v>112</v>
      </c>
      <c r="P211" t="s">
        <v>149</v>
      </c>
      <c r="Q211" t="s">
        <v>210</v>
      </c>
      <c r="R211" t="s">
        <v>129</v>
      </c>
      <c r="S211" t="s">
        <v>248</v>
      </c>
      <c r="T211"/>
      <c r="U211"/>
      <c r="V211"/>
      <c r="W211"/>
      <c r="X211"/>
      <c r="Y211"/>
      <c r="Z211"/>
      <c r="AA211"/>
      <c r="AB211" t="s">
        <v>105</v>
      </c>
      <c r="AC211" t="s">
        <v>105</v>
      </c>
      <c r="AD211"/>
      <c r="AE211"/>
      <c r="AF211">
        <v>42.696944</v>
      </c>
      <c r="AG211">
        <v>0.997778</v>
      </c>
      <c r="AH211" t="s">
        <v>611</v>
      </c>
      <c r="AI211">
        <v>74</v>
      </c>
      <c r="AJ211">
        <v>900</v>
      </c>
      <c r="AK211" t="s">
        <v>612</v>
      </c>
      <c r="AL211">
        <v>18</v>
      </c>
      <c r="AM211">
        <v>3</v>
      </c>
      <c r="AN211" t="s">
        <v>131</v>
      </c>
      <c r="AO211" t="s">
        <v>262</v>
      </c>
      <c r="AP211" t="s">
        <v>613</v>
      </c>
      <c r="AQ211" t="s">
        <v>89</v>
      </c>
      <c r="AR211" t="s">
        <v>135</v>
      </c>
      <c r="AS211" t="s">
        <v>96</v>
      </c>
      <c r="AT211" t="s">
        <v>545</v>
      </c>
      <c r="AU211" t="s">
        <v>119</v>
      </c>
      <c r="AV211" t="s">
        <v>184</v>
      </c>
      <c r="AW211" t="s">
        <v>91</v>
      </c>
      <c r="AX211" t="s">
        <v>134</v>
      </c>
      <c r="AY211" t="s">
        <v>163</v>
      </c>
      <c r="AZ211">
        <v>0.166009852</v>
      </c>
      <c r="BA211">
        <v>0.000124085</v>
      </c>
      <c r="BB211">
        <v>6</v>
      </c>
      <c r="BC211">
        <v>0.172167488</v>
      </c>
      <c r="BD211">
        <v>0.000182136</v>
      </c>
      <c r="BE211">
        <v>6</v>
      </c>
      <c r="BF211">
        <v>0.087931034</v>
      </c>
      <c r="BG211">
        <v>0.000165202</v>
      </c>
      <c r="BH211">
        <v>6</v>
      </c>
      <c r="BI211">
        <v>0.100985222</v>
      </c>
      <c r="BJ211">
        <v>0.00021848</v>
      </c>
      <c r="BK211">
        <v>6</v>
      </c>
      <c r="BL211"/>
      <c r="BM211"/>
      <c r="BN211"/>
      <c r="BO211"/>
      <c r="BP211"/>
      <c r="BQ211"/>
      <c r="BR211"/>
      <c r="BS211"/>
      <c r="BT211"/>
      <c r="BU211"/>
      <c r="BV211"/>
      <c r="BW211"/>
      <c r="BX211"/>
    </row>
    <row r="212" s="1" customFormat="1" ht="15" customHeight="1" spans="1:76">
      <c r="A212">
        <v>70</v>
      </c>
      <c r="B212">
        <v>227</v>
      </c>
      <c r="C212" t="s">
        <v>614</v>
      </c>
      <c r="D212" t="s">
        <v>615</v>
      </c>
      <c r="E212">
        <v>2005</v>
      </c>
      <c r="F212" t="s">
        <v>616</v>
      </c>
      <c r="G212" t="s">
        <v>236</v>
      </c>
      <c r="H212" t="s">
        <v>140</v>
      </c>
      <c r="I212" t="s">
        <v>81</v>
      </c>
      <c r="J212" t="s">
        <v>96</v>
      </c>
      <c r="K212" t="s">
        <v>9</v>
      </c>
      <c r="L212" t="s">
        <v>617</v>
      </c>
      <c r="M212" t="s">
        <v>618</v>
      </c>
      <c r="N212" t="s">
        <v>619</v>
      </c>
      <c r="O212" t="s">
        <v>112</v>
      </c>
      <c r="P212" t="s">
        <v>149</v>
      </c>
      <c r="Q212" t="s">
        <v>102</v>
      </c>
      <c r="R212" t="s">
        <v>129</v>
      </c>
      <c r="S212" t="s">
        <v>104</v>
      </c>
      <c r="T212"/>
      <c r="U212"/>
      <c r="V212"/>
      <c r="W212"/>
      <c r="X212"/>
      <c r="Y212"/>
      <c r="Z212"/>
      <c r="AA212"/>
      <c r="AB212"/>
      <c r="AC212"/>
      <c r="AD212"/>
      <c r="AE212"/>
      <c r="AF212">
        <v>28.345539</v>
      </c>
      <c r="AG212">
        <v>80.70365</v>
      </c>
      <c r="AH212" t="s">
        <v>438</v>
      </c>
      <c r="AI212">
        <v>180</v>
      </c>
      <c r="AJ212">
        <v>40.625</v>
      </c>
      <c r="AK212" t="s">
        <v>86</v>
      </c>
      <c r="AL212">
        <v>45</v>
      </c>
      <c r="AM212">
        <v>15</v>
      </c>
      <c r="AN212" t="s">
        <v>161</v>
      </c>
      <c r="AO212" t="s">
        <v>183</v>
      </c>
      <c r="AP212" t="s">
        <v>620</v>
      </c>
      <c r="AQ212" t="s">
        <v>89</v>
      </c>
      <c r="AR212" t="s">
        <v>391</v>
      </c>
      <c r="AS212" t="s">
        <v>82</v>
      </c>
      <c r="AT212" t="s">
        <v>621</v>
      </c>
      <c r="AU212" t="s">
        <v>622</v>
      </c>
      <c r="AV212" t="s">
        <v>121</v>
      </c>
      <c r="AW212" t="s">
        <v>119</v>
      </c>
      <c r="AX212" t="s">
        <v>120</v>
      </c>
      <c r="AY212" t="s">
        <v>95</v>
      </c>
      <c r="AZ212">
        <v>3.661327231</v>
      </c>
      <c r="BA212">
        <v>7.976395908</v>
      </c>
      <c r="BB212">
        <v>15</v>
      </c>
      <c r="BC212">
        <v>0.915331808</v>
      </c>
      <c r="BD212">
        <v>5.317597272</v>
      </c>
      <c r="BE212">
        <v>15</v>
      </c>
      <c r="BF212">
        <v>64.7597254</v>
      </c>
      <c r="BG212">
        <v>8.862662119</v>
      </c>
      <c r="BH212">
        <v>15</v>
      </c>
      <c r="BI212">
        <v>57.89473684</v>
      </c>
      <c r="BJ212">
        <v>7.090129696</v>
      </c>
      <c r="BK212">
        <v>15</v>
      </c>
      <c r="BL212"/>
      <c r="BM212"/>
      <c r="BN212"/>
      <c r="BO212"/>
      <c r="BP212"/>
      <c r="BQ212"/>
      <c r="BR212"/>
      <c r="BS212"/>
      <c r="BT212"/>
      <c r="BU212"/>
      <c r="BV212"/>
      <c r="BW212"/>
      <c r="BX212"/>
    </row>
    <row r="213" s="1" customFormat="1" ht="15" customHeight="1" spans="1:76">
      <c r="A213">
        <v>70</v>
      </c>
      <c r="B213">
        <v>228</v>
      </c>
      <c r="C213" t="s">
        <v>614</v>
      </c>
      <c r="D213" t="s">
        <v>615</v>
      </c>
      <c r="E213">
        <v>2005</v>
      </c>
      <c r="F213" t="s">
        <v>616</v>
      </c>
      <c r="G213" t="s">
        <v>236</v>
      </c>
      <c r="H213" t="s">
        <v>140</v>
      </c>
      <c r="I213" t="s">
        <v>81</v>
      </c>
      <c r="J213" t="s">
        <v>96</v>
      </c>
      <c r="K213" t="s">
        <v>9</v>
      </c>
      <c r="L213" t="s">
        <v>623</v>
      </c>
      <c r="M213" t="s">
        <v>624</v>
      </c>
      <c r="N213" t="s">
        <v>625</v>
      </c>
      <c r="O213" t="s">
        <v>112</v>
      </c>
      <c r="P213" t="s">
        <v>101</v>
      </c>
      <c r="Q213" t="s">
        <v>210</v>
      </c>
      <c r="R213" t="s">
        <v>103</v>
      </c>
      <c r="S213" t="s">
        <v>104</v>
      </c>
      <c r="T213"/>
      <c r="U213"/>
      <c r="V213"/>
      <c r="W213"/>
      <c r="X213"/>
      <c r="Y213"/>
      <c r="Z213"/>
      <c r="AA213"/>
      <c r="AB213"/>
      <c r="AC213"/>
      <c r="AD213"/>
      <c r="AE213"/>
      <c r="AF213">
        <v>28.345539</v>
      </c>
      <c r="AG213">
        <v>80.70365</v>
      </c>
      <c r="AH213" t="s">
        <v>438</v>
      </c>
      <c r="AI213">
        <v>180</v>
      </c>
      <c r="AJ213">
        <v>40.625</v>
      </c>
      <c r="AK213" t="s">
        <v>86</v>
      </c>
      <c r="AL213">
        <v>45</v>
      </c>
      <c r="AM213">
        <v>15</v>
      </c>
      <c r="AN213" t="s">
        <v>161</v>
      </c>
      <c r="AO213" t="s">
        <v>183</v>
      </c>
      <c r="AP213" t="s">
        <v>620</v>
      </c>
      <c r="AQ213" t="s">
        <v>89</v>
      </c>
      <c r="AR213" t="s">
        <v>391</v>
      </c>
      <c r="AS213" t="s">
        <v>82</v>
      </c>
      <c r="AT213" t="s">
        <v>621</v>
      </c>
      <c r="AU213" t="s">
        <v>93</v>
      </c>
      <c r="AV213" t="s">
        <v>121</v>
      </c>
      <c r="AW213" t="s">
        <v>119</v>
      </c>
      <c r="AX213" t="s">
        <v>120</v>
      </c>
      <c r="AY213" t="s">
        <v>95</v>
      </c>
      <c r="AZ213">
        <v>63.69747899</v>
      </c>
      <c r="BA213">
        <v>2.603686283</v>
      </c>
      <c r="BB213">
        <v>15</v>
      </c>
      <c r="BC213">
        <v>58.31932773</v>
      </c>
      <c r="BD213">
        <v>4.556450996</v>
      </c>
      <c r="BE213">
        <v>15</v>
      </c>
      <c r="BF213">
        <v>15.6302521</v>
      </c>
      <c r="BG213">
        <v>4.556450996</v>
      </c>
      <c r="BH213">
        <v>15</v>
      </c>
      <c r="BI213">
        <v>2.18487395</v>
      </c>
      <c r="BJ213">
        <v>2.603686283</v>
      </c>
      <c r="BK213">
        <v>15</v>
      </c>
      <c r="BL213"/>
      <c r="BM213"/>
      <c r="BN213"/>
      <c r="BO213"/>
      <c r="BP213"/>
      <c r="BQ213"/>
      <c r="BR213"/>
      <c r="BS213"/>
      <c r="BT213"/>
      <c r="BU213"/>
      <c r="BV213"/>
      <c r="BW213"/>
      <c r="BX213"/>
    </row>
    <row r="214" s="1" customFormat="1" ht="15" customHeight="1" spans="1:76">
      <c r="A214">
        <v>71</v>
      </c>
      <c r="B214">
        <v>229</v>
      </c>
      <c r="C214" t="s">
        <v>626</v>
      </c>
      <c r="D214" t="s">
        <v>627</v>
      </c>
      <c r="E214">
        <v>2000</v>
      </c>
      <c r="F214" t="s">
        <v>628</v>
      </c>
      <c r="G214" t="s">
        <v>629</v>
      </c>
      <c r="H214" t="s">
        <v>198</v>
      </c>
      <c r="I214" t="s">
        <v>457</v>
      </c>
      <c r="J214" t="s">
        <v>96</v>
      </c>
      <c r="K214" t="s">
        <v>9</v>
      </c>
      <c r="L214" t="s">
        <v>630</v>
      </c>
      <c r="M214" t="s">
        <v>631</v>
      </c>
      <c r="N214" t="s">
        <v>632</v>
      </c>
      <c r="O214" t="s">
        <v>112</v>
      </c>
      <c r="P214" t="s">
        <v>149</v>
      </c>
      <c r="Q214" t="s">
        <v>102</v>
      </c>
      <c r="R214" t="s">
        <v>129</v>
      </c>
      <c r="S214" t="s">
        <v>104</v>
      </c>
      <c r="T214"/>
      <c r="U214"/>
      <c r="V214"/>
      <c r="W214"/>
      <c r="X214"/>
      <c r="Y214"/>
      <c r="Z214"/>
      <c r="AA214"/>
      <c r="AB214"/>
      <c r="AC214"/>
      <c r="AD214"/>
      <c r="AE214"/>
      <c r="AF214">
        <v>57.6985465</v>
      </c>
      <c r="AG214">
        <v>11.9712422</v>
      </c>
      <c r="AH214" t="s">
        <v>141</v>
      </c>
      <c r="AI214">
        <v>21</v>
      </c>
      <c r="AJ214">
        <v>0.045</v>
      </c>
      <c r="AK214" t="s">
        <v>115</v>
      </c>
      <c r="AL214">
        <v>48</v>
      </c>
      <c r="AM214">
        <v>4</v>
      </c>
      <c r="AN214"/>
      <c r="AO214"/>
      <c r="AP214" t="s">
        <v>633</v>
      </c>
      <c r="AQ214" t="s">
        <v>185</v>
      </c>
      <c r="AR214" t="s">
        <v>186</v>
      </c>
      <c r="AS214" t="s">
        <v>96</v>
      </c>
      <c r="AT214" t="s">
        <v>545</v>
      </c>
      <c r="AU214" t="s">
        <v>93</v>
      </c>
      <c r="AV214" t="s">
        <v>634</v>
      </c>
      <c r="AW214" t="s">
        <v>91</v>
      </c>
      <c r="AX214" t="s">
        <v>92</v>
      </c>
      <c r="AY214" t="s">
        <v>95</v>
      </c>
      <c r="AZ214">
        <v>22.26923077</v>
      </c>
      <c r="BA214">
        <v>5.462621778</v>
      </c>
      <c r="BB214">
        <v>12</v>
      </c>
      <c r="BC214">
        <v>14.46153846</v>
      </c>
      <c r="BD214">
        <v>8.127315328</v>
      </c>
      <c r="BE214">
        <v>12</v>
      </c>
      <c r="BF214">
        <v>29.88461538</v>
      </c>
      <c r="BG214">
        <v>4.663213713</v>
      </c>
      <c r="BH214">
        <v>12</v>
      </c>
      <c r="BI214">
        <v>14.65384615</v>
      </c>
      <c r="BJ214">
        <v>5.3293871</v>
      </c>
      <c r="BK214">
        <v>12</v>
      </c>
      <c r="BL214"/>
      <c r="BM214"/>
      <c r="BN214"/>
      <c r="BO214"/>
      <c r="BP214"/>
      <c r="BQ214"/>
      <c r="BR214"/>
      <c r="BS214"/>
      <c r="BT214"/>
      <c r="BU214"/>
      <c r="BV214"/>
      <c r="BW214"/>
      <c r="BX214"/>
    </row>
    <row r="215" s="1" customFormat="1" ht="15" customHeight="1" spans="1:76">
      <c r="A215">
        <v>72</v>
      </c>
      <c r="B215">
        <v>230</v>
      </c>
      <c r="C215" t="s">
        <v>635</v>
      </c>
      <c r="D215" t="s">
        <v>636</v>
      </c>
      <c r="E215">
        <v>2021</v>
      </c>
      <c r="F215" t="s">
        <v>637</v>
      </c>
      <c r="G215" t="s">
        <v>523</v>
      </c>
      <c r="H215" t="s">
        <v>80</v>
      </c>
      <c r="I215" t="s">
        <v>110</v>
      </c>
      <c r="J215" t="s">
        <v>96</v>
      </c>
      <c r="K215" t="s">
        <v>9</v>
      </c>
      <c r="L215" t="s">
        <v>97</v>
      </c>
      <c r="M215" t="s">
        <v>98</v>
      </c>
      <c r="N215" t="s">
        <v>99</v>
      </c>
      <c r="O215" t="s">
        <v>100</v>
      </c>
      <c r="P215" t="s">
        <v>101</v>
      </c>
      <c r="Q215" t="s">
        <v>102</v>
      </c>
      <c r="R215" t="s">
        <v>103</v>
      </c>
      <c r="S215" t="s">
        <v>104</v>
      </c>
      <c r="T215">
        <v>0.387</v>
      </c>
      <c r="U215">
        <v>0.54</v>
      </c>
      <c r="V215"/>
      <c r="W215"/>
      <c r="X215"/>
      <c r="Y215">
        <v>0.25</v>
      </c>
      <c r="Z215">
        <v>29.21</v>
      </c>
      <c r="AA215"/>
      <c r="AB215" t="s">
        <v>105</v>
      </c>
      <c r="AC215" t="s">
        <v>105</v>
      </c>
      <c r="AD215">
        <v>9.48</v>
      </c>
      <c r="AE215">
        <v>3.58</v>
      </c>
      <c r="AF215">
        <v>28.65</v>
      </c>
      <c r="AG215">
        <v>115.8</v>
      </c>
      <c r="AH215" t="s">
        <v>312</v>
      </c>
      <c r="AI215">
        <v>45</v>
      </c>
      <c r="AJ215">
        <v>38.4</v>
      </c>
      <c r="AK215" t="s">
        <v>115</v>
      </c>
      <c r="AL215">
        <v>70</v>
      </c>
      <c r="AM215">
        <v>7</v>
      </c>
      <c r="AN215" t="s">
        <v>87</v>
      </c>
      <c r="AO215" t="s">
        <v>183</v>
      </c>
      <c r="AP215" t="s">
        <v>192</v>
      </c>
      <c r="AQ215" t="s">
        <v>185</v>
      </c>
      <c r="AR215" t="s">
        <v>186</v>
      </c>
      <c r="AS215" t="s">
        <v>82</v>
      </c>
      <c r="AT215" t="s">
        <v>638</v>
      </c>
      <c r="AU215" t="s">
        <v>91</v>
      </c>
      <c r="AV215" t="s">
        <v>256</v>
      </c>
      <c r="AW215" t="s">
        <v>119</v>
      </c>
      <c r="AX215" t="s">
        <v>184</v>
      </c>
      <c r="AY215" t="s">
        <v>163</v>
      </c>
      <c r="AZ215">
        <v>0.024495178</v>
      </c>
      <c r="BA215">
        <v>0.006055063</v>
      </c>
      <c r="BB215">
        <v>7</v>
      </c>
      <c r="BC215">
        <v>0.03468706</v>
      </c>
      <c r="BD215">
        <v>0.007602543</v>
      </c>
      <c r="BE215">
        <v>3</v>
      </c>
      <c r="BF215">
        <v>0.022644163</v>
      </c>
      <c r="BG215">
        <v>0.007924548</v>
      </c>
      <c r="BH215">
        <v>6</v>
      </c>
      <c r="BI215">
        <v>0.032498242</v>
      </c>
      <c r="BJ215">
        <v>0.004320756</v>
      </c>
      <c r="BK215">
        <v>6</v>
      </c>
      <c r="BL215"/>
      <c r="BM215"/>
      <c r="BN215"/>
      <c r="BO215"/>
      <c r="BP215"/>
      <c r="BQ215"/>
      <c r="BR215"/>
      <c r="BS215"/>
      <c r="BT215"/>
      <c r="BU215"/>
      <c r="BV215"/>
      <c r="BW215"/>
      <c r="BX215"/>
    </row>
    <row r="216" s="1" customFormat="1" ht="15" customHeight="1" spans="1:76">
      <c r="A216">
        <v>72</v>
      </c>
      <c r="B216">
        <v>231</v>
      </c>
      <c r="C216" t="s">
        <v>635</v>
      </c>
      <c r="D216" t="s">
        <v>636</v>
      </c>
      <c r="E216">
        <v>2021</v>
      </c>
      <c r="F216" t="s">
        <v>637</v>
      </c>
      <c r="G216" t="s">
        <v>523</v>
      </c>
      <c r="H216" t="s">
        <v>80</v>
      </c>
      <c r="I216" t="s">
        <v>110</v>
      </c>
      <c r="J216" t="s">
        <v>96</v>
      </c>
      <c r="K216" t="s">
        <v>9</v>
      </c>
      <c r="L216" t="s">
        <v>97</v>
      </c>
      <c r="M216" t="s">
        <v>98</v>
      </c>
      <c r="N216" t="s">
        <v>99</v>
      </c>
      <c r="O216" t="s">
        <v>100</v>
      </c>
      <c r="P216" t="s">
        <v>101</v>
      </c>
      <c r="Q216" t="s">
        <v>102</v>
      </c>
      <c r="R216" t="s">
        <v>103</v>
      </c>
      <c r="S216" t="s">
        <v>104</v>
      </c>
      <c r="T216">
        <v>0.387</v>
      </c>
      <c r="U216">
        <v>0.54</v>
      </c>
      <c r="V216"/>
      <c r="W216"/>
      <c r="X216"/>
      <c r="Y216">
        <v>0.25</v>
      </c>
      <c r="Z216">
        <v>29.21</v>
      </c>
      <c r="AA216"/>
      <c r="AB216" t="s">
        <v>105</v>
      </c>
      <c r="AC216" t="s">
        <v>105</v>
      </c>
      <c r="AD216">
        <v>9.48</v>
      </c>
      <c r="AE216">
        <v>3.58</v>
      </c>
      <c r="AF216">
        <v>28.65</v>
      </c>
      <c r="AG216">
        <v>115.8</v>
      </c>
      <c r="AH216" t="s">
        <v>312</v>
      </c>
      <c r="AI216">
        <v>45</v>
      </c>
      <c r="AJ216">
        <v>38.4</v>
      </c>
      <c r="AK216" t="s">
        <v>115</v>
      </c>
      <c r="AL216">
        <v>70</v>
      </c>
      <c r="AM216">
        <v>7</v>
      </c>
      <c r="AN216" t="s">
        <v>87</v>
      </c>
      <c r="AO216" t="s">
        <v>183</v>
      </c>
      <c r="AP216" t="s">
        <v>192</v>
      </c>
      <c r="AQ216" t="s">
        <v>89</v>
      </c>
      <c r="AR216" t="s">
        <v>177</v>
      </c>
      <c r="AS216" t="s">
        <v>82</v>
      </c>
      <c r="AT216" t="s">
        <v>639</v>
      </c>
      <c r="AU216" t="s">
        <v>91</v>
      </c>
      <c r="AV216" t="s">
        <v>256</v>
      </c>
      <c r="AW216" t="s">
        <v>119</v>
      </c>
      <c r="AX216" t="s">
        <v>184</v>
      </c>
      <c r="AY216" t="s">
        <v>163</v>
      </c>
      <c r="AZ216">
        <v>0.370007107</v>
      </c>
      <c r="BA216">
        <v>0.100402569</v>
      </c>
      <c r="BB216">
        <v>6</v>
      </c>
      <c r="BC216">
        <v>0.519687278</v>
      </c>
      <c r="BD216">
        <v>0.146710522</v>
      </c>
      <c r="BE216">
        <v>3</v>
      </c>
      <c r="BF216">
        <v>0.301918977</v>
      </c>
      <c r="BG216">
        <v>0.080290252</v>
      </c>
      <c r="BH216">
        <v>5</v>
      </c>
      <c r="BI216">
        <v>0.521791045</v>
      </c>
      <c r="BJ216">
        <v>0.094570955</v>
      </c>
      <c r="BK216">
        <v>5</v>
      </c>
      <c r="BL216"/>
      <c r="BM216"/>
      <c r="BN216"/>
      <c r="BO216"/>
      <c r="BP216"/>
      <c r="BQ216"/>
      <c r="BR216"/>
      <c r="BS216"/>
      <c r="BT216"/>
      <c r="BU216"/>
      <c r="BV216"/>
      <c r="BW216"/>
      <c r="BX216"/>
    </row>
    <row r="217" s="1" customFormat="1" ht="15" customHeight="1" spans="1:76">
      <c r="A217">
        <v>73</v>
      </c>
      <c r="B217">
        <v>232</v>
      </c>
      <c r="C217" t="s">
        <v>640</v>
      </c>
      <c r="D217" t="s">
        <v>641</v>
      </c>
      <c r="E217">
        <v>2021</v>
      </c>
      <c r="F217" t="s">
        <v>642</v>
      </c>
      <c r="G217" t="s">
        <v>643</v>
      </c>
      <c r="H217" t="s">
        <v>198</v>
      </c>
      <c r="I217" t="s">
        <v>110</v>
      </c>
      <c r="J217" t="s">
        <v>96</v>
      </c>
      <c r="K217" t="s">
        <v>9</v>
      </c>
      <c r="L217" t="s">
        <v>126</v>
      </c>
      <c r="M217" t="s">
        <v>168</v>
      </c>
      <c r="N217" t="s">
        <v>268</v>
      </c>
      <c r="O217" t="s">
        <v>112</v>
      </c>
      <c r="P217" t="s">
        <v>149</v>
      </c>
      <c r="Q217" t="s">
        <v>210</v>
      </c>
      <c r="R217" t="s">
        <v>103</v>
      </c>
      <c r="S217" t="s">
        <v>104</v>
      </c>
      <c r="T217"/>
      <c r="U217"/>
      <c r="V217"/>
      <c r="W217"/>
      <c r="X217"/>
      <c r="Y217"/>
      <c r="Z217">
        <v>20.5</v>
      </c>
      <c r="AA217"/>
      <c r="AB217" t="s">
        <v>105</v>
      </c>
      <c r="AC217" t="s">
        <v>105</v>
      </c>
      <c r="AD217"/>
      <c r="AE217"/>
      <c r="AF217">
        <v>31.213056</v>
      </c>
      <c r="AG217">
        <v>120.478056</v>
      </c>
      <c r="AH217" t="s">
        <v>334</v>
      </c>
      <c r="AI217">
        <v>14</v>
      </c>
      <c r="AJ217">
        <v>2</v>
      </c>
      <c r="AK217" t="s">
        <v>86</v>
      </c>
      <c r="AL217">
        <v>24</v>
      </c>
      <c r="AM217">
        <v>3</v>
      </c>
      <c r="AN217"/>
      <c r="AO217"/>
      <c r="AP217"/>
      <c r="AQ217" t="s">
        <v>89</v>
      </c>
      <c r="AR217" t="s">
        <v>644</v>
      </c>
      <c r="AS217" t="s">
        <v>82</v>
      </c>
      <c r="AT217" t="s">
        <v>90</v>
      </c>
      <c r="AU217" t="s">
        <v>230</v>
      </c>
      <c r="AV217" t="s">
        <v>645</v>
      </c>
      <c r="AW217" t="s">
        <v>230</v>
      </c>
      <c r="AX217" t="s">
        <v>646</v>
      </c>
      <c r="AY217" t="s">
        <v>647</v>
      </c>
      <c r="AZ217">
        <v>6.417910448</v>
      </c>
      <c r="BA217">
        <v>0.805970149</v>
      </c>
      <c r="BB217">
        <v>3</v>
      </c>
      <c r="BC217">
        <v>4.31840796</v>
      </c>
      <c r="BD217">
        <v>0.368159204</v>
      </c>
      <c r="BE217">
        <v>3</v>
      </c>
      <c r="BF217">
        <v>5.104477612</v>
      </c>
      <c r="BG217">
        <v>0.169154229</v>
      </c>
      <c r="BH217">
        <v>3</v>
      </c>
      <c r="BI217">
        <v>3.741293532</v>
      </c>
      <c r="BJ217">
        <v>0.31840796</v>
      </c>
      <c r="BK217">
        <v>3</v>
      </c>
      <c r="BL217"/>
      <c r="BM217"/>
      <c r="BN217"/>
      <c r="BO217"/>
      <c r="BP217"/>
      <c r="BQ217"/>
      <c r="BR217"/>
      <c r="BS217"/>
      <c r="BT217"/>
      <c r="BU217"/>
      <c r="BV217"/>
      <c r="BW217"/>
      <c r="BX217"/>
    </row>
    <row r="218" s="1" customFormat="1" ht="15" customHeight="1" spans="1:76">
      <c r="A218">
        <v>74</v>
      </c>
      <c r="B218">
        <v>233</v>
      </c>
      <c r="C218" t="s">
        <v>648</v>
      </c>
      <c r="D218" t="s">
        <v>649</v>
      </c>
      <c r="E218">
        <v>2023</v>
      </c>
      <c r="F218" t="s">
        <v>650</v>
      </c>
      <c r="G218" t="s">
        <v>651</v>
      </c>
      <c r="H218" t="s">
        <v>198</v>
      </c>
      <c r="I218" t="s">
        <v>110</v>
      </c>
      <c r="J218" t="s">
        <v>96</v>
      </c>
      <c r="K218" t="s">
        <v>9</v>
      </c>
      <c r="L218" t="s">
        <v>97</v>
      </c>
      <c r="M218" t="s">
        <v>98</v>
      </c>
      <c r="N218" t="s">
        <v>652</v>
      </c>
      <c r="O218" t="s">
        <v>112</v>
      </c>
      <c r="P218" t="s">
        <v>149</v>
      </c>
      <c r="Q218" t="s">
        <v>102</v>
      </c>
      <c r="R218" t="s">
        <v>103</v>
      </c>
      <c r="S218" t="s">
        <v>248</v>
      </c>
      <c r="T218"/>
      <c r="U218"/>
      <c r="V218"/>
      <c r="W218"/>
      <c r="X218"/>
      <c r="Y218"/>
      <c r="Z218">
        <v>23</v>
      </c>
      <c r="AA218"/>
      <c r="AB218" t="s">
        <v>105</v>
      </c>
      <c r="AC218" t="s">
        <v>105</v>
      </c>
      <c r="AD218"/>
      <c r="AE218"/>
      <c r="AF218"/>
      <c r="AG218"/>
      <c r="AH218" t="s">
        <v>653</v>
      </c>
      <c r="AI218">
        <v>24</v>
      </c>
      <c r="AJ218">
        <v>1</v>
      </c>
      <c r="AK218" t="s">
        <v>86</v>
      </c>
      <c r="AL218">
        <v>27</v>
      </c>
      <c r="AM218">
        <v>3</v>
      </c>
      <c r="AN218"/>
      <c r="AO218"/>
      <c r="AP218"/>
      <c r="AQ218" t="s">
        <v>185</v>
      </c>
      <c r="AR218" t="s">
        <v>530</v>
      </c>
      <c r="AS218" t="s">
        <v>96</v>
      </c>
      <c r="AT218" t="s">
        <v>545</v>
      </c>
      <c r="AU218" t="s">
        <v>230</v>
      </c>
      <c r="AV218" t="s">
        <v>335</v>
      </c>
      <c r="AW218" t="s">
        <v>230</v>
      </c>
      <c r="AX218" t="s">
        <v>645</v>
      </c>
      <c r="AY218" t="s">
        <v>647</v>
      </c>
      <c r="AZ218">
        <v>0.702290076</v>
      </c>
      <c r="BA218">
        <v>0.144083969</v>
      </c>
      <c r="BB218">
        <v>3</v>
      </c>
      <c r="BC218">
        <v>0.208969466</v>
      </c>
      <c r="BD218">
        <v>0.058206107</v>
      </c>
      <c r="BE218">
        <v>3</v>
      </c>
      <c r="BF218">
        <v>0.626908397</v>
      </c>
      <c r="BG218">
        <v>0.094465649</v>
      </c>
      <c r="BH218">
        <v>3</v>
      </c>
      <c r="BI218">
        <v>0.220419847</v>
      </c>
      <c r="BJ218">
        <v>0.078244275</v>
      </c>
      <c r="BK218">
        <v>3</v>
      </c>
      <c r="BL218"/>
      <c r="BM218"/>
      <c r="BN218"/>
      <c r="BO218"/>
      <c r="BP218"/>
      <c r="BQ218"/>
      <c r="BR218"/>
      <c r="BS218"/>
      <c r="BT218"/>
      <c r="BU218"/>
      <c r="BV218"/>
      <c r="BW218"/>
      <c r="BX218"/>
    </row>
    <row r="219" s="1" customFormat="1" ht="15" customHeight="1" spans="1:76">
      <c r="A219">
        <v>75</v>
      </c>
      <c r="B219">
        <v>234</v>
      </c>
      <c r="C219" t="s">
        <v>654</v>
      </c>
      <c r="D219" t="s">
        <v>655</v>
      </c>
      <c r="E219">
        <v>2012</v>
      </c>
      <c r="F219" t="s">
        <v>656</v>
      </c>
      <c r="G219" t="s">
        <v>657</v>
      </c>
      <c r="H219" t="s">
        <v>198</v>
      </c>
      <c r="I219" t="s">
        <v>110</v>
      </c>
      <c r="J219" t="s">
        <v>96</v>
      </c>
      <c r="K219" t="s">
        <v>9</v>
      </c>
      <c r="L219" t="s">
        <v>387</v>
      </c>
      <c r="M219" t="s">
        <v>388</v>
      </c>
      <c r="N219" t="s">
        <v>389</v>
      </c>
      <c r="O219" t="s">
        <v>112</v>
      </c>
      <c r="P219" t="s">
        <v>149</v>
      </c>
      <c r="Q219" t="s">
        <v>102</v>
      </c>
      <c r="R219" t="s">
        <v>103</v>
      </c>
      <c r="S219" t="s">
        <v>104</v>
      </c>
      <c r="T219">
        <v>0.5</v>
      </c>
      <c r="U219"/>
      <c r="V219"/>
      <c r="W219"/>
      <c r="X219">
        <v>0.05</v>
      </c>
      <c r="Y219"/>
      <c r="Z219">
        <v>25</v>
      </c>
      <c r="AA219"/>
      <c r="AB219" t="s">
        <v>105</v>
      </c>
      <c r="AC219" t="s">
        <v>105</v>
      </c>
      <c r="AD219"/>
      <c r="AE219"/>
      <c r="AF219">
        <v>35.3</v>
      </c>
      <c r="AG219">
        <v>113.92</v>
      </c>
      <c r="AH219" t="s">
        <v>130</v>
      </c>
      <c r="AI219">
        <v>15</v>
      </c>
      <c r="AJ219">
        <v>24</v>
      </c>
      <c r="AK219" t="s">
        <v>378</v>
      </c>
      <c r="AL219">
        <v>24</v>
      </c>
      <c r="AM219">
        <v>3</v>
      </c>
      <c r="AN219"/>
      <c r="AO219"/>
      <c r="AP219" t="s">
        <v>313</v>
      </c>
      <c r="AQ219" t="s">
        <v>185</v>
      </c>
      <c r="AR219" t="s">
        <v>186</v>
      </c>
      <c r="AS219" t="s">
        <v>96</v>
      </c>
      <c r="AT219" t="s">
        <v>658</v>
      </c>
      <c r="AU219" t="s">
        <v>91</v>
      </c>
      <c r="AV219" t="s">
        <v>255</v>
      </c>
      <c r="AW219" t="s">
        <v>91</v>
      </c>
      <c r="AX219" t="s">
        <v>659</v>
      </c>
      <c r="AY219" t="s">
        <v>224</v>
      </c>
      <c r="AZ219">
        <v>25</v>
      </c>
      <c r="BA219">
        <v>18.79</v>
      </c>
      <c r="BB219">
        <v>3</v>
      </c>
      <c r="BC219" s="2">
        <v>-60</v>
      </c>
      <c r="BD219">
        <v>3.27</v>
      </c>
      <c r="BE219">
        <v>3</v>
      </c>
      <c r="BF219">
        <v>40</v>
      </c>
      <c r="BG219">
        <v>22.21</v>
      </c>
      <c r="BH219">
        <v>3</v>
      </c>
      <c r="BI219">
        <v>22</v>
      </c>
      <c r="BJ219">
        <v>2.45</v>
      </c>
      <c r="BK219">
        <v>3</v>
      </c>
      <c r="BL219"/>
      <c r="BM219"/>
      <c r="BN219"/>
      <c r="BO219"/>
      <c r="BP219"/>
      <c r="BQ219"/>
      <c r="BR219"/>
      <c r="BS219"/>
      <c r="BT219"/>
      <c r="BU219"/>
      <c r="BV219"/>
      <c r="BW219"/>
      <c r="BX219"/>
    </row>
    <row r="220" s="1" customFormat="1" ht="15" customHeight="1" spans="1:76">
      <c r="A220">
        <v>75</v>
      </c>
      <c r="B220">
        <v>235</v>
      </c>
      <c r="C220" t="s">
        <v>654</v>
      </c>
      <c r="D220" t="s">
        <v>655</v>
      </c>
      <c r="E220">
        <v>2012</v>
      </c>
      <c r="F220" t="s">
        <v>656</v>
      </c>
      <c r="G220" t="s">
        <v>657</v>
      </c>
      <c r="H220" t="s">
        <v>198</v>
      </c>
      <c r="I220" t="s">
        <v>110</v>
      </c>
      <c r="J220" t="s">
        <v>96</v>
      </c>
      <c r="K220" t="s">
        <v>9</v>
      </c>
      <c r="L220" t="s">
        <v>387</v>
      </c>
      <c r="M220" t="s">
        <v>388</v>
      </c>
      <c r="N220" t="s">
        <v>389</v>
      </c>
      <c r="O220" t="s">
        <v>112</v>
      </c>
      <c r="P220" t="s">
        <v>149</v>
      </c>
      <c r="Q220" t="s">
        <v>102</v>
      </c>
      <c r="R220" t="s">
        <v>103</v>
      </c>
      <c r="S220" t="s">
        <v>104</v>
      </c>
      <c r="T220">
        <v>0.5</v>
      </c>
      <c r="U220"/>
      <c r="V220"/>
      <c r="W220"/>
      <c r="X220">
        <v>0.05</v>
      </c>
      <c r="Y220"/>
      <c r="Z220">
        <v>25</v>
      </c>
      <c r="AA220"/>
      <c r="AB220" t="s">
        <v>105</v>
      </c>
      <c r="AC220" t="s">
        <v>105</v>
      </c>
      <c r="AD220"/>
      <c r="AE220"/>
      <c r="AF220">
        <v>35.3</v>
      </c>
      <c r="AG220">
        <v>113.92</v>
      </c>
      <c r="AH220" t="s">
        <v>130</v>
      </c>
      <c r="AI220">
        <v>15</v>
      </c>
      <c r="AJ220">
        <v>24</v>
      </c>
      <c r="AK220" t="s">
        <v>378</v>
      </c>
      <c r="AL220">
        <v>24</v>
      </c>
      <c r="AM220">
        <v>3</v>
      </c>
      <c r="AN220"/>
      <c r="AO220"/>
      <c r="AP220" t="s">
        <v>313</v>
      </c>
      <c r="AQ220" t="s">
        <v>89</v>
      </c>
      <c r="AR220" t="s">
        <v>89</v>
      </c>
      <c r="AS220" t="s">
        <v>96</v>
      </c>
      <c r="AT220" t="s">
        <v>531</v>
      </c>
      <c r="AU220" t="s">
        <v>91</v>
      </c>
      <c r="AV220" t="s">
        <v>255</v>
      </c>
      <c r="AW220" t="s">
        <v>91</v>
      </c>
      <c r="AX220" t="s">
        <v>659</v>
      </c>
      <c r="AY220" t="s">
        <v>224</v>
      </c>
      <c r="AZ220">
        <v>20</v>
      </c>
      <c r="BA220">
        <v>0.8165</v>
      </c>
      <c r="BB220">
        <v>3</v>
      </c>
      <c r="BC220">
        <v>20</v>
      </c>
      <c r="BD220">
        <v>2.449</v>
      </c>
      <c r="BE220">
        <v>3</v>
      </c>
      <c r="BF220">
        <v>20</v>
      </c>
      <c r="BG220">
        <v>1.626</v>
      </c>
      <c r="BH220">
        <v>3</v>
      </c>
      <c r="BI220">
        <v>30</v>
      </c>
      <c r="BJ220">
        <v>2.449</v>
      </c>
      <c r="BK220">
        <v>3</v>
      </c>
      <c r="BL220"/>
      <c r="BM220"/>
      <c r="BN220"/>
      <c r="BO220"/>
      <c r="BP220"/>
      <c r="BQ220"/>
      <c r="BR220"/>
      <c r="BS220"/>
      <c r="BT220"/>
      <c r="BU220"/>
      <c r="BV220"/>
      <c r="BW220"/>
      <c r="BX220"/>
    </row>
    <row r="221" s="1" customFormat="1" ht="15" customHeight="1" spans="1:76">
      <c r="A221">
        <v>76</v>
      </c>
      <c r="B221">
        <v>236</v>
      </c>
      <c r="C221" t="s">
        <v>660</v>
      </c>
      <c r="D221" t="s">
        <v>661</v>
      </c>
      <c r="E221">
        <v>1995</v>
      </c>
      <c r="F221" t="s">
        <v>662</v>
      </c>
      <c r="G221" t="s">
        <v>663</v>
      </c>
      <c r="H221" t="s">
        <v>80</v>
      </c>
      <c r="I221" t="s">
        <v>81</v>
      </c>
      <c r="J221" t="s">
        <v>82</v>
      </c>
      <c r="K221" t="s">
        <v>664</v>
      </c>
      <c r="L221" t="s">
        <v>84</v>
      </c>
      <c r="M221" t="s">
        <v>84</v>
      </c>
      <c r="N221" t="s">
        <v>84</v>
      </c>
      <c r="O221" t="s">
        <v>84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38.535</v>
      </c>
      <c r="AG221">
        <v>-121.7403</v>
      </c>
      <c r="AH221" t="s">
        <v>199</v>
      </c>
      <c r="AI221">
        <v>56</v>
      </c>
      <c r="AJ221">
        <v>120</v>
      </c>
      <c r="AK221" t="s">
        <v>86</v>
      </c>
      <c r="AL221">
        <v>1</v>
      </c>
      <c r="AM221">
        <v>4</v>
      </c>
      <c r="AN221"/>
      <c r="AO221"/>
      <c r="AP221" t="s">
        <v>665</v>
      </c>
      <c r="AQ221" t="s">
        <v>89</v>
      </c>
      <c r="AR221" t="s">
        <v>89</v>
      </c>
      <c r="AS221" t="s">
        <v>82</v>
      </c>
      <c r="AT221" t="s">
        <v>90</v>
      </c>
      <c r="AU221" t="s">
        <v>119</v>
      </c>
      <c r="AV221" t="s">
        <v>666</v>
      </c>
      <c r="AW221" t="s">
        <v>91</v>
      </c>
      <c r="AX221" t="s">
        <v>134</v>
      </c>
      <c r="AY221" t="s">
        <v>95</v>
      </c>
      <c r="AZ221">
        <v>42</v>
      </c>
      <c r="BA221">
        <v>20</v>
      </c>
      <c r="BB221">
        <v>4</v>
      </c>
      <c r="BC221">
        <v>35</v>
      </c>
      <c r="BD221">
        <v>28</v>
      </c>
      <c r="BE221">
        <v>4</v>
      </c>
      <c r="BF221">
        <v>112</v>
      </c>
      <c r="BG221">
        <v>64</v>
      </c>
      <c r="BH221">
        <v>4</v>
      </c>
      <c r="BI221">
        <v>354</v>
      </c>
      <c r="BJ221">
        <v>220</v>
      </c>
      <c r="BK221">
        <v>4</v>
      </c>
      <c r="BL221"/>
      <c r="BM221"/>
      <c r="BN221"/>
      <c r="BO221"/>
      <c r="BP221"/>
      <c r="BQ221"/>
      <c r="BR221"/>
      <c r="BS221"/>
      <c r="BT221"/>
      <c r="BU221"/>
      <c r="BV221"/>
      <c r="BW221"/>
      <c r="BX221"/>
    </row>
    <row r="222" s="1" customFormat="1" ht="15" customHeight="1" spans="1:76">
      <c r="A222">
        <v>76</v>
      </c>
      <c r="B222">
        <v>237</v>
      </c>
      <c r="C222" t="s">
        <v>660</v>
      </c>
      <c r="D222" t="s">
        <v>661</v>
      </c>
      <c r="E222">
        <v>1995</v>
      </c>
      <c r="F222" t="s">
        <v>662</v>
      </c>
      <c r="G222" t="s">
        <v>663</v>
      </c>
      <c r="H222" t="s">
        <v>80</v>
      </c>
      <c r="I222" t="s">
        <v>81</v>
      </c>
      <c r="J222" t="s">
        <v>82</v>
      </c>
      <c r="K222" t="s">
        <v>664</v>
      </c>
      <c r="L222" t="s">
        <v>84</v>
      </c>
      <c r="M222" t="s">
        <v>84</v>
      </c>
      <c r="N222" t="s">
        <v>84</v>
      </c>
      <c r="O222" t="s">
        <v>84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38.535</v>
      </c>
      <c r="AG222">
        <v>-121.7403</v>
      </c>
      <c r="AH222" t="s">
        <v>199</v>
      </c>
      <c r="AI222">
        <v>56</v>
      </c>
      <c r="AJ222">
        <v>120</v>
      </c>
      <c r="AK222" t="s">
        <v>86</v>
      </c>
      <c r="AL222">
        <v>1</v>
      </c>
      <c r="AM222">
        <v>4</v>
      </c>
      <c r="AN222"/>
      <c r="AO222"/>
      <c r="AP222" t="s">
        <v>665</v>
      </c>
      <c r="AQ222" t="s">
        <v>89</v>
      </c>
      <c r="AR222" t="s">
        <v>89</v>
      </c>
      <c r="AS222" t="s">
        <v>82</v>
      </c>
      <c r="AT222" t="s">
        <v>90</v>
      </c>
      <c r="AU222" t="s">
        <v>119</v>
      </c>
      <c r="AV222" t="s">
        <v>666</v>
      </c>
      <c r="AW222" t="s">
        <v>91</v>
      </c>
      <c r="AX222" t="s">
        <v>134</v>
      </c>
      <c r="AY222" t="s">
        <v>95</v>
      </c>
      <c r="AZ222">
        <v>146</v>
      </c>
      <c r="BA222">
        <v>156</v>
      </c>
      <c r="BB222">
        <v>4</v>
      </c>
      <c r="BC222">
        <v>48</v>
      </c>
      <c r="BD222">
        <v>44</v>
      </c>
      <c r="BE222">
        <v>4</v>
      </c>
      <c r="BF222">
        <v>698</v>
      </c>
      <c r="BG222">
        <v>198</v>
      </c>
      <c r="BH222">
        <v>4</v>
      </c>
      <c r="BI222">
        <v>365</v>
      </c>
      <c r="BJ222">
        <v>198</v>
      </c>
      <c r="BK222">
        <v>4</v>
      </c>
      <c r="BL222"/>
      <c r="BM222"/>
      <c r="BN222"/>
      <c r="BO222"/>
      <c r="BP222"/>
      <c r="BQ222"/>
      <c r="BR222"/>
      <c r="BS222"/>
      <c r="BT222"/>
      <c r="BU222"/>
      <c r="BV222"/>
      <c r="BW222"/>
      <c r="BX222"/>
    </row>
    <row r="223" s="1" customFormat="1" ht="15" customHeight="1" spans="1:76">
      <c r="A223">
        <v>76</v>
      </c>
      <c r="B223">
        <v>238</v>
      </c>
      <c r="C223" t="s">
        <v>660</v>
      </c>
      <c r="D223" t="s">
        <v>661</v>
      </c>
      <c r="E223">
        <v>1995</v>
      </c>
      <c r="F223" t="s">
        <v>662</v>
      </c>
      <c r="G223" t="s">
        <v>663</v>
      </c>
      <c r="H223" t="s">
        <v>80</v>
      </c>
      <c r="I223" t="s">
        <v>81</v>
      </c>
      <c r="J223" t="s">
        <v>82</v>
      </c>
      <c r="K223" t="s">
        <v>664</v>
      </c>
      <c r="L223" t="s">
        <v>84</v>
      </c>
      <c r="M223" t="s">
        <v>84</v>
      </c>
      <c r="N223" t="s">
        <v>84</v>
      </c>
      <c r="O223" t="s">
        <v>84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38.535</v>
      </c>
      <c r="AG223">
        <v>-121.7403</v>
      </c>
      <c r="AH223" t="s">
        <v>199</v>
      </c>
      <c r="AI223">
        <v>56</v>
      </c>
      <c r="AJ223">
        <v>120</v>
      </c>
      <c r="AK223" t="s">
        <v>86</v>
      </c>
      <c r="AL223">
        <v>1</v>
      </c>
      <c r="AM223">
        <v>4</v>
      </c>
      <c r="AN223"/>
      <c r="AO223"/>
      <c r="AP223" t="s">
        <v>665</v>
      </c>
      <c r="AQ223" t="s">
        <v>89</v>
      </c>
      <c r="AR223" t="s">
        <v>89</v>
      </c>
      <c r="AS223" t="s">
        <v>82</v>
      </c>
      <c r="AT223" t="s">
        <v>90</v>
      </c>
      <c r="AU223" t="s">
        <v>119</v>
      </c>
      <c r="AV223" t="s">
        <v>666</v>
      </c>
      <c r="AW223" t="s">
        <v>91</v>
      </c>
      <c r="AX223" t="s">
        <v>134</v>
      </c>
      <c r="AY223" t="s">
        <v>95</v>
      </c>
      <c r="AZ223">
        <v>205</v>
      </c>
      <c r="BA223">
        <v>194</v>
      </c>
      <c r="BB223">
        <v>4</v>
      </c>
      <c r="BC223">
        <v>211</v>
      </c>
      <c r="BD223">
        <v>94</v>
      </c>
      <c r="BE223">
        <v>4</v>
      </c>
      <c r="BF223">
        <v>821</v>
      </c>
      <c r="BG223">
        <v>442</v>
      </c>
      <c r="BH223">
        <v>4</v>
      </c>
      <c r="BI223">
        <v>919</v>
      </c>
      <c r="BJ223">
        <v>568</v>
      </c>
      <c r="BK223">
        <v>4</v>
      </c>
      <c r="BL223"/>
      <c r="BM223"/>
      <c r="BN223"/>
      <c r="BO223"/>
      <c r="BP223"/>
      <c r="BQ223"/>
      <c r="BR223"/>
      <c r="BS223"/>
      <c r="BT223"/>
      <c r="BU223"/>
      <c r="BV223"/>
      <c r="BW223"/>
      <c r="BX223"/>
    </row>
    <row r="224" s="1" customFormat="1" ht="15" customHeight="1" spans="1:76">
      <c r="A224">
        <v>76</v>
      </c>
      <c r="B224">
        <v>239</v>
      </c>
      <c r="C224" t="s">
        <v>660</v>
      </c>
      <c r="D224" t="s">
        <v>661</v>
      </c>
      <c r="E224">
        <v>1995</v>
      </c>
      <c r="F224" t="s">
        <v>662</v>
      </c>
      <c r="G224" t="s">
        <v>663</v>
      </c>
      <c r="H224" t="s">
        <v>80</v>
      </c>
      <c r="I224" t="s">
        <v>81</v>
      </c>
      <c r="J224" t="s">
        <v>82</v>
      </c>
      <c r="K224" t="s">
        <v>664</v>
      </c>
      <c r="L224" t="s">
        <v>84</v>
      </c>
      <c r="M224" t="s">
        <v>84</v>
      </c>
      <c r="N224" t="s">
        <v>84</v>
      </c>
      <c r="O224" t="s">
        <v>84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38.535</v>
      </c>
      <c r="AG224">
        <v>-121.7403</v>
      </c>
      <c r="AH224" t="s">
        <v>199</v>
      </c>
      <c r="AI224">
        <v>56</v>
      </c>
      <c r="AJ224">
        <v>120</v>
      </c>
      <c r="AK224" t="s">
        <v>86</v>
      </c>
      <c r="AL224">
        <v>1</v>
      </c>
      <c r="AM224">
        <v>4</v>
      </c>
      <c r="AN224"/>
      <c r="AO224"/>
      <c r="AP224" t="s">
        <v>665</v>
      </c>
      <c r="AQ224" t="s">
        <v>89</v>
      </c>
      <c r="AR224" t="s">
        <v>89</v>
      </c>
      <c r="AS224" t="s">
        <v>82</v>
      </c>
      <c r="AT224" t="s">
        <v>90</v>
      </c>
      <c r="AU224" t="s">
        <v>119</v>
      </c>
      <c r="AV224" t="s">
        <v>666</v>
      </c>
      <c r="AW224" t="s">
        <v>91</v>
      </c>
      <c r="AX224" t="s">
        <v>134</v>
      </c>
      <c r="AY224" t="s">
        <v>95</v>
      </c>
      <c r="AZ224">
        <v>242</v>
      </c>
      <c r="BA224">
        <v>104</v>
      </c>
      <c r="BB224">
        <v>4</v>
      </c>
      <c r="BC224">
        <v>312</v>
      </c>
      <c r="BD224">
        <v>82</v>
      </c>
      <c r="BE224">
        <v>4</v>
      </c>
      <c r="BF224">
        <v>271</v>
      </c>
      <c r="BG224">
        <v>108</v>
      </c>
      <c r="BH224">
        <v>4</v>
      </c>
      <c r="BI224">
        <v>1445</v>
      </c>
      <c r="BJ224">
        <v>912</v>
      </c>
      <c r="BK224">
        <v>4</v>
      </c>
      <c r="BL224"/>
      <c r="BM224"/>
      <c r="BN224"/>
      <c r="BO224"/>
      <c r="BP224"/>
      <c r="BQ224"/>
      <c r="BR224"/>
      <c r="BS224"/>
      <c r="BT224"/>
      <c r="BU224"/>
      <c r="BV224"/>
      <c r="BW224"/>
      <c r="BX224"/>
    </row>
    <row r="225" s="1" customFormat="1" ht="15" customHeight="1" spans="1:76">
      <c r="A225">
        <v>76</v>
      </c>
      <c r="B225">
        <v>240</v>
      </c>
      <c r="C225" t="s">
        <v>660</v>
      </c>
      <c r="D225" t="s">
        <v>661</v>
      </c>
      <c r="E225">
        <v>1995</v>
      </c>
      <c r="F225" t="s">
        <v>662</v>
      </c>
      <c r="G225" t="s">
        <v>663</v>
      </c>
      <c r="H225" t="s">
        <v>80</v>
      </c>
      <c r="I225" t="s">
        <v>81</v>
      </c>
      <c r="J225" t="s">
        <v>82</v>
      </c>
      <c r="K225" t="s">
        <v>664</v>
      </c>
      <c r="L225" t="s">
        <v>84</v>
      </c>
      <c r="M225" t="s">
        <v>84</v>
      </c>
      <c r="N225" t="s">
        <v>84</v>
      </c>
      <c r="O225" t="s">
        <v>84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38.535</v>
      </c>
      <c r="AG225">
        <v>-121.7403</v>
      </c>
      <c r="AH225" t="s">
        <v>199</v>
      </c>
      <c r="AI225">
        <v>56</v>
      </c>
      <c r="AJ225">
        <v>120</v>
      </c>
      <c r="AK225" t="s">
        <v>86</v>
      </c>
      <c r="AL225">
        <v>1</v>
      </c>
      <c r="AM225">
        <v>4</v>
      </c>
      <c r="AN225"/>
      <c r="AO225"/>
      <c r="AP225" t="s">
        <v>665</v>
      </c>
      <c r="AQ225" t="s">
        <v>89</v>
      </c>
      <c r="AR225" t="s">
        <v>89</v>
      </c>
      <c r="AS225" t="s">
        <v>82</v>
      </c>
      <c r="AT225" t="s">
        <v>90</v>
      </c>
      <c r="AU225" t="s">
        <v>119</v>
      </c>
      <c r="AV225" t="s">
        <v>666</v>
      </c>
      <c r="AW225" t="s">
        <v>91</v>
      </c>
      <c r="AX225" t="s">
        <v>134</v>
      </c>
      <c r="AY225" t="s">
        <v>95</v>
      </c>
      <c r="AZ225">
        <v>28</v>
      </c>
      <c r="BA225">
        <v>14</v>
      </c>
      <c r="BB225">
        <v>4</v>
      </c>
      <c r="BC225">
        <v>93</v>
      </c>
      <c r="BD225">
        <v>56</v>
      </c>
      <c r="BE225">
        <v>4</v>
      </c>
      <c r="BF225">
        <v>179</v>
      </c>
      <c r="BG225">
        <v>70</v>
      </c>
      <c r="BH225">
        <v>4</v>
      </c>
      <c r="BI225">
        <v>1095</v>
      </c>
      <c r="BJ225">
        <v>710</v>
      </c>
      <c r="BK225">
        <v>4</v>
      </c>
      <c r="BL225"/>
      <c r="BM225"/>
      <c r="BN225"/>
      <c r="BO225"/>
      <c r="BP225"/>
      <c r="BQ225"/>
      <c r="BR225"/>
      <c r="BS225"/>
      <c r="BT225"/>
      <c r="BU225"/>
      <c r="BV225"/>
      <c r="BW225"/>
      <c r="BX225"/>
    </row>
    <row r="226" s="1" customFormat="1" ht="15" customHeight="1" spans="1:76">
      <c r="A226">
        <v>76</v>
      </c>
      <c r="B226">
        <v>241</v>
      </c>
      <c r="C226" t="s">
        <v>660</v>
      </c>
      <c r="D226" t="s">
        <v>661</v>
      </c>
      <c r="E226">
        <v>1995</v>
      </c>
      <c r="F226" t="s">
        <v>662</v>
      </c>
      <c r="G226" t="s">
        <v>663</v>
      </c>
      <c r="H226" t="s">
        <v>80</v>
      </c>
      <c r="I226" t="s">
        <v>81</v>
      </c>
      <c r="J226" t="s">
        <v>82</v>
      </c>
      <c r="K226" t="s">
        <v>664</v>
      </c>
      <c r="L226" t="s">
        <v>84</v>
      </c>
      <c r="M226" t="s">
        <v>84</v>
      </c>
      <c r="N226" t="s">
        <v>84</v>
      </c>
      <c r="O226" t="s">
        <v>84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38.535</v>
      </c>
      <c r="AG226">
        <v>-121.7403</v>
      </c>
      <c r="AH226" t="s">
        <v>199</v>
      </c>
      <c r="AI226">
        <v>56</v>
      </c>
      <c r="AJ226">
        <v>120</v>
      </c>
      <c r="AK226" t="s">
        <v>86</v>
      </c>
      <c r="AL226">
        <v>1</v>
      </c>
      <c r="AM226">
        <v>4</v>
      </c>
      <c r="AN226"/>
      <c r="AO226"/>
      <c r="AP226" t="s">
        <v>665</v>
      </c>
      <c r="AQ226" t="s">
        <v>89</v>
      </c>
      <c r="AR226" t="s">
        <v>89</v>
      </c>
      <c r="AS226" t="s">
        <v>82</v>
      </c>
      <c r="AT226" t="s">
        <v>90</v>
      </c>
      <c r="AU226" t="s">
        <v>119</v>
      </c>
      <c r="AV226" t="s">
        <v>666</v>
      </c>
      <c r="AW226" t="s">
        <v>91</v>
      </c>
      <c r="AX226" t="s">
        <v>134</v>
      </c>
      <c r="AY226" t="s">
        <v>95</v>
      </c>
      <c r="AZ226">
        <v>110</v>
      </c>
      <c r="BA226">
        <v>60</v>
      </c>
      <c r="BB226">
        <v>4</v>
      </c>
      <c r="BC226">
        <v>190</v>
      </c>
      <c r="BD226">
        <v>146</v>
      </c>
      <c r="BE226">
        <v>4</v>
      </c>
      <c r="BF226">
        <v>187</v>
      </c>
      <c r="BG226">
        <v>188</v>
      </c>
      <c r="BH226">
        <v>4</v>
      </c>
      <c r="BI226">
        <v>1350</v>
      </c>
      <c r="BJ226">
        <v>402</v>
      </c>
      <c r="BK226">
        <v>4</v>
      </c>
      <c r="BL226"/>
      <c r="BM226"/>
      <c r="BN226"/>
      <c r="BO226"/>
      <c r="BP226"/>
      <c r="BQ226"/>
      <c r="BR226"/>
      <c r="BS226"/>
      <c r="BT226"/>
      <c r="BU226"/>
      <c r="BV226"/>
      <c r="BW226"/>
      <c r="BX226"/>
    </row>
    <row r="227" s="1" customFormat="1" ht="15" customHeight="1" spans="1:76">
      <c r="A227">
        <v>76</v>
      </c>
      <c r="B227">
        <v>242</v>
      </c>
      <c r="C227" t="s">
        <v>660</v>
      </c>
      <c r="D227" t="s">
        <v>661</v>
      </c>
      <c r="E227">
        <v>1995</v>
      </c>
      <c r="F227" t="s">
        <v>662</v>
      </c>
      <c r="G227" t="s">
        <v>663</v>
      </c>
      <c r="H227" t="s">
        <v>80</v>
      </c>
      <c r="I227" t="s">
        <v>81</v>
      </c>
      <c r="J227" t="s">
        <v>82</v>
      </c>
      <c r="K227" t="s">
        <v>664</v>
      </c>
      <c r="L227" t="s">
        <v>84</v>
      </c>
      <c r="M227" t="s">
        <v>84</v>
      </c>
      <c r="N227" t="s">
        <v>84</v>
      </c>
      <c r="O227" t="s">
        <v>84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>
        <v>38.535</v>
      </c>
      <c r="AG227">
        <v>-121.7403</v>
      </c>
      <c r="AH227" t="s">
        <v>199</v>
      </c>
      <c r="AI227">
        <v>56</v>
      </c>
      <c r="AJ227">
        <v>120</v>
      </c>
      <c r="AK227" t="s">
        <v>86</v>
      </c>
      <c r="AL227">
        <v>1</v>
      </c>
      <c r="AM227">
        <v>4</v>
      </c>
      <c r="AN227"/>
      <c r="AO227"/>
      <c r="AP227" t="s">
        <v>665</v>
      </c>
      <c r="AQ227" t="s">
        <v>89</v>
      </c>
      <c r="AR227" t="s">
        <v>89</v>
      </c>
      <c r="AS227" t="s">
        <v>82</v>
      </c>
      <c r="AT227" t="s">
        <v>90</v>
      </c>
      <c r="AU227" t="s">
        <v>119</v>
      </c>
      <c r="AV227" t="s">
        <v>666</v>
      </c>
      <c r="AW227" t="s">
        <v>91</v>
      </c>
      <c r="AX227" t="s">
        <v>134</v>
      </c>
      <c r="AY227" t="s">
        <v>95</v>
      </c>
      <c r="AZ227">
        <v>19</v>
      </c>
      <c r="BA227">
        <v>8</v>
      </c>
      <c r="BB227">
        <v>4</v>
      </c>
      <c r="BC227">
        <v>161</v>
      </c>
      <c r="BD227">
        <v>130</v>
      </c>
      <c r="BE227">
        <v>4</v>
      </c>
      <c r="BF227">
        <v>470</v>
      </c>
      <c r="BG227">
        <v>282</v>
      </c>
      <c r="BH227">
        <v>4</v>
      </c>
      <c r="BI227">
        <v>802</v>
      </c>
      <c r="BJ227">
        <v>522</v>
      </c>
      <c r="BK227">
        <v>4</v>
      </c>
      <c r="BL227"/>
      <c r="BM227"/>
      <c r="BN227"/>
      <c r="BO227"/>
      <c r="BP227"/>
      <c r="BQ227"/>
      <c r="BR227"/>
      <c r="BS227"/>
      <c r="BT227"/>
      <c r="BU227"/>
      <c r="BV227"/>
      <c r="BW227"/>
      <c r="BX227"/>
    </row>
    <row r="228" s="1" customFormat="1" ht="15" customHeight="1" spans="1:76">
      <c r="A228">
        <v>76</v>
      </c>
      <c r="B228">
        <v>243</v>
      </c>
      <c r="C228" t="s">
        <v>660</v>
      </c>
      <c r="D228" t="s">
        <v>661</v>
      </c>
      <c r="E228">
        <v>1995</v>
      </c>
      <c r="F228" t="s">
        <v>662</v>
      </c>
      <c r="G228" t="s">
        <v>663</v>
      </c>
      <c r="H228" t="s">
        <v>80</v>
      </c>
      <c r="I228" t="s">
        <v>81</v>
      </c>
      <c r="J228" t="s">
        <v>82</v>
      </c>
      <c r="K228" t="s">
        <v>664</v>
      </c>
      <c r="L228" t="s">
        <v>84</v>
      </c>
      <c r="M228" t="s">
        <v>84</v>
      </c>
      <c r="N228" t="s">
        <v>84</v>
      </c>
      <c r="O228" t="s">
        <v>84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>
        <v>38.535</v>
      </c>
      <c r="AG228">
        <v>-121.7403</v>
      </c>
      <c r="AH228" t="s">
        <v>199</v>
      </c>
      <c r="AI228">
        <v>56</v>
      </c>
      <c r="AJ228">
        <v>120</v>
      </c>
      <c r="AK228" t="s">
        <v>86</v>
      </c>
      <c r="AL228">
        <v>1</v>
      </c>
      <c r="AM228">
        <v>4</v>
      </c>
      <c r="AN228"/>
      <c r="AO228"/>
      <c r="AP228" t="s">
        <v>665</v>
      </c>
      <c r="AQ228" t="s">
        <v>89</v>
      </c>
      <c r="AR228" t="s">
        <v>89</v>
      </c>
      <c r="AS228" t="s">
        <v>82</v>
      </c>
      <c r="AT228" t="s">
        <v>90</v>
      </c>
      <c r="AU228" t="s">
        <v>119</v>
      </c>
      <c r="AV228" t="s">
        <v>666</v>
      </c>
      <c r="AW228" t="s">
        <v>91</v>
      </c>
      <c r="AX228" t="s">
        <v>134</v>
      </c>
      <c r="AY228" t="s">
        <v>95</v>
      </c>
      <c r="AZ228">
        <v>96</v>
      </c>
      <c r="BA228">
        <v>36</v>
      </c>
      <c r="BB228">
        <v>4</v>
      </c>
      <c r="BC228">
        <v>175</v>
      </c>
      <c r="BD228">
        <v>154</v>
      </c>
      <c r="BE228">
        <v>4</v>
      </c>
      <c r="BF228">
        <v>330</v>
      </c>
      <c r="BG228">
        <v>258</v>
      </c>
      <c r="BH228">
        <v>4</v>
      </c>
      <c r="BI228">
        <v>1621</v>
      </c>
      <c r="BJ228">
        <v>710</v>
      </c>
      <c r="BK228">
        <v>4</v>
      </c>
      <c r="BL228"/>
      <c r="BM228"/>
      <c r="BN228"/>
      <c r="BO228"/>
      <c r="BP228"/>
      <c r="BQ228"/>
      <c r="BR228"/>
      <c r="BS228"/>
      <c r="BT228"/>
      <c r="BU228"/>
      <c r="BV228"/>
      <c r="BW228"/>
      <c r="BX228"/>
    </row>
    <row r="229" s="1" customFormat="1" ht="15" customHeight="1" spans="1:76">
      <c r="A229">
        <v>76</v>
      </c>
      <c r="B229">
        <v>244</v>
      </c>
      <c r="C229" t="s">
        <v>660</v>
      </c>
      <c r="D229" t="s">
        <v>661</v>
      </c>
      <c r="E229">
        <v>1995</v>
      </c>
      <c r="F229" t="s">
        <v>662</v>
      </c>
      <c r="G229" t="s">
        <v>663</v>
      </c>
      <c r="H229" t="s">
        <v>80</v>
      </c>
      <c r="I229" t="s">
        <v>81</v>
      </c>
      <c r="J229" t="s">
        <v>82</v>
      </c>
      <c r="K229" t="s">
        <v>664</v>
      </c>
      <c r="L229" t="s">
        <v>84</v>
      </c>
      <c r="M229" t="s">
        <v>84</v>
      </c>
      <c r="N229" t="s">
        <v>84</v>
      </c>
      <c r="O229" t="s">
        <v>84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>
        <v>38.535</v>
      </c>
      <c r="AG229">
        <v>-121.7403</v>
      </c>
      <c r="AH229" t="s">
        <v>199</v>
      </c>
      <c r="AI229">
        <v>56</v>
      </c>
      <c r="AJ229">
        <v>120</v>
      </c>
      <c r="AK229" t="s">
        <v>86</v>
      </c>
      <c r="AL229">
        <v>1</v>
      </c>
      <c r="AM229">
        <v>4</v>
      </c>
      <c r="AN229"/>
      <c r="AO229"/>
      <c r="AP229" t="s">
        <v>665</v>
      </c>
      <c r="AQ229" t="s">
        <v>89</v>
      </c>
      <c r="AR229" t="s">
        <v>89</v>
      </c>
      <c r="AS229" t="s">
        <v>82</v>
      </c>
      <c r="AT229" t="s">
        <v>90</v>
      </c>
      <c r="AU229" t="s">
        <v>119</v>
      </c>
      <c r="AV229" t="s">
        <v>666</v>
      </c>
      <c r="AW229" t="s">
        <v>91</v>
      </c>
      <c r="AX229" t="s">
        <v>134</v>
      </c>
      <c r="AY229" t="s">
        <v>95</v>
      </c>
      <c r="AZ229">
        <v>90</v>
      </c>
      <c r="BA229">
        <v>56</v>
      </c>
      <c r="BB229">
        <v>4</v>
      </c>
      <c r="BC229">
        <v>204</v>
      </c>
      <c r="BD229">
        <v>194</v>
      </c>
      <c r="BE229">
        <v>4</v>
      </c>
      <c r="BF229">
        <v>496</v>
      </c>
      <c r="BG229">
        <v>360</v>
      </c>
      <c r="BH229">
        <v>4</v>
      </c>
      <c r="BI229">
        <v>1484</v>
      </c>
      <c r="BJ229">
        <v>316</v>
      </c>
      <c r="BK229">
        <v>4</v>
      </c>
      <c r="BL229"/>
      <c r="BM229"/>
      <c r="BN229"/>
      <c r="BO229"/>
      <c r="BP229"/>
      <c r="BQ229"/>
      <c r="BR229"/>
      <c r="BS229"/>
      <c r="BT229"/>
      <c r="BU229"/>
      <c r="BV229"/>
      <c r="BW229"/>
      <c r="BX229"/>
    </row>
    <row r="230" s="1" customFormat="1" ht="15" customHeight="1" spans="1:76">
      <c r="A230">
        <v>77</v>
      </c>
      <c r="B230">
        <v>245</v>
      </c>
      <c r="C230" t="s">
        <v>667</v>
      </c>
      <c r="D230" t="s">
        <v>668</v>
      </c>
      <c r="E230">
        <v>2025</v>
      </c>
      <c r="F230" t="s">
        <v>215</v>
      </c>
      <c r="G230" t="s">
        <v>436</v>
      </c>
      <c r="H230" t="s">
        <v>80</v>
      </c>
      <c r="I230" t="s">
        <v>110</v>
      </c>
      <c r="J230" t="s">
        <v>96</v>
      </c>
      <c r="K230" t="s">
        <v>9</v>
      </c>
      <c r="L230" t="s">
        <v>126</v>
      </c>
      <c r="M230" t="s">
        <v>127</v>
      </c>
      <c r="N230" t="s">
        <v>128</v>
      </c>
      <c r="O230" t="s">
        <v>112</v>
      </c>
      <c r="P230" t="s">
        <v>101</v>
      </c>
      <c r="Q230" t="s">
        <v>102</v>
      </c>
      <c r="R230" t="s">
        <v>129</v>
      </c>
      <c r="S230" t="s">
        <v>104</v>
      </c>
      <c r="T230">
        <v>1.32</v>
      </c>
      <c r="U230">
        <v>5.5</v>
      </c>
      <c r="V230">
        <f>2.4-T230</f>
        <v>1.08</v>
      </c>
      <c r="W230"/>
      <c r="X230">
        <v>0.007</v>
      </c>
      <c r="Y230">
        <v>0.42</v>
      </c>
      <c r="Z230"/>
      <c r="AA230">
        <v>3.5</v>
      </c>
      <c r="AB230" t="s">
        <v>170</v>
      </c>
      <c r="AC230" t="s">
        <v>170</v>
      </c>
      <c r="AD230">
        <v>7.56</v>
      </c>
      <c r="AE230">
        <v>18.02</v>
      </c>
      <c r="AF230">
        <v>30.184</v>
      </c>
      <c r="AG230">
        <v>114.133</v>
      </c>
      <c r="AH230" t="s">
        <v>669</v>
      </c>
      <c r="AI230">
        <v>300</v>
      </c>
      <c r="AJ230">
        <v>2500</v>
      </c>
      <c r="AK230" t="s">
        <v>86</v>
      </c>
      <c r="AL230">
        <v>48</v>
      </c>
      <c r="AM230">
        <v>6</v>
      </c>
      <c r="AN230" t="s">
        <v>116</v>
      </c>
      <c r="AO230" t="s">
        <v>439</v>
      </c>
      <c r="AP230" t="s">
        <v>174</v>
      </c>
      <c r="AQ230" t="s">
        <v>89</v>
      </c>
      <c r="AR230" t="s">
        <v>89</v>
      </c>
      <c r="AS230" t="s">
        <v>82</v>
      </c>
      <c r="AT230" t="s">
        <v>90</v>
      </c>
      <c r="AU230" t="s">
        <v>91</v>
      </c>
      <c r="AV230" t="s">
        <v>92</v>
      </c>
      <c r="AW230" t="s">
        <v>230</v>
      </c>
      <c r="AX230" t="s">
        <v>670</v>
      </c>
      <c r="AY230" t="s">
        <v>353</v>
      </c>
      <c r="AZ230">
        <v>58.9583333333333</v>
      </c>
      <c r="BA230">
        <v>89.8059598059431</v>
      </c>
      <c r="BB230">
        <v>6</v>
      </c>
      <c r="BC230">
        <v>386.666666666667</v>
      </c>
      <c r="BD230">
        <v>803.434295177065</v>
      </c>
      <c r="BE230">
        <v>6</v>
      </c>
      <c r="BF230">
        <v>196.305</v>
      </c>
      <c r="BG230">
        <v>290.112687192408</v>
      </c>
      <c r="BH230">
        <v>6</v>
      </c>
      <c r="BI230">
        <v>107.755</v>
      </c>
      <c r="BJ230">
        <v>49.3882592323317</v>
      </c>
      <c r="BK230">
        <v>6</v>
      </c>
      <c r="BL230"/>
      <c r="BM230"/>
      <c r="BN230"/>
      <c r="BO230"/>
      <c r="BP230"/>
      <c r="BQ230"/>
      <c r="BR230"/>
      <c r="BS230"/>
      <c r="BT230"/>
      <c r="BU230"/>
      <c r="BV230"/>
      <c r="BW230"/>
      <c r="BX230"/>
    </row>
    <row r="231" s="1" customFormat="1" ht="15" customHeight="1" spans="1:76">
      <c r="A231">
        <v>77</v>
      </c>
      <c r="B231">
        <v>246</v>
      </c>
      <c r="C231" t="s">
        <v>667</v>
      </c>
      <c r="D231" t="s">
        <v>668</v>
      </c>
      <c r="E231">
        <v>2025</v>
      </c>
      <c r="F231" t="s">
        <v>215</v>
      </c>
      <c r="G231" t="s">
        <v>436</v>
      </c>
      <c r="H231" t="s">
        <v>80</v>
      </c>
      <c r="I231" t="s">
        <v>110</v>
      </c>
      <c r="J231" t="s">
        <v>96</v>
      </c>
      <c r="K231" t="s">
        <v>9</v>
      </c>
      <c r="L231" t="s">
        <v>126</v>
      </c>
      <c r="M231" t="s">
        <v>127</v>
      </c>
      <c r="N231" t="s">
        <v>128</v>
      </c>
      <c r="O231" t="s">
        <v>112</v>
      </c>
      <c r="P231" t="s">
        <v>101</v>
      </c>
      <c r="Q231" t="s">
        <v>102</v>
      </c>
      <c r="R231" t="s">
        <v>129</v>
      </c>
      <c r="S231" t="s">
        <v>104</v>
      </c>
      <c r="T231">
        <v>1.32</v>
      </c>
      <c r="U231">
        <v>5.5</v>
      </c>
      <c r="V231">
        <v>1.08</v>
      </c>
      <c r="W231"/>
      <c r="X231">
        <v>0.007</v>
      </c>
      <c r="Y231">
        <v>0.42</v>
      </c>
      <c r="Z231"/>
      <c r="AA231">
        <v>3.5</v>
      </c>
      <c r="AB231" t="s">
        <v>170</v>
      </c>
      <c r="AC231" t="s">
        <v>170</v>
      </c>
      <c r="AD231">
        <v>7.56</v>
      </c>
      <c r="AE231">
        <v>18.02</v>
      </c>
      <c r="AF231">
        <v>30.184</v>
      </c>
      <c r="AG231">
        <v>114.133</v>
      </c>
      <c r="AH231" t="s">
        <v>669</v>
      </c>
      <c r="AI231">
        <v>300</v>
      </c>
      <c r="AJ231">
        <v>2500</v>
      </c>
      <c r="AK231" t="s">
        <v>86</v>
      </c>
      <c r="AL231">
        <v>48</v>
      </c>
      <c r="AM231">
        <v>6</v>
      </c>
      <c r="AN231" t="s">
        <v>116</v>
      </c>
      <c r="AO231" t="s">
        <v>439</v>
      </c>
      <c r="AP231" t="s">
        <v>174</v>
      </c>
      <c r="AQ231" t="s">
        <v>89</v>
      </c>
      <c r="AR231" t="s">
        <v>89</v>
      </c>
      <c r="AS231" t="s">
        <v>82</v>
      </c>
      <c r="AT231" t="s">
        <v>90</v>
      </c>
      <c r="AU231" t="s">
        <v>91</v>
      </c>
      <c r="AV231" t="s">
        <v>92</v>
      </c>
      <c r="AW231" t="s">
        <v>221</v>
      </c>
      <c r="AX231" t="s">
        <v>409</v>
      </c>
      <c r="AY231" t="s">
        <v>223</v>
      </c>
      <c r="AZ231">
        <v>58.9583333333333</v>
      </c>
      <c r="BA231">
        <v>89.8059598059431</v>
      </c>
      <c r="BB231">
        <v>6</v>
      </c>
      <c r="BC231">
        <v>386.666666666667</v>
      </c>
      <c r="BD231">
        <v>803.434295177065</v>
      </c>
      <c r="BE231">
        <v>6</v>
      </c>
      <c r="BF231">
        <v>161.268333333333</v>
      </c>
      <c r="BG231">
        <v>177.716249388363</v>
      </c>
      <c r="BH231">
        <v>6</v>
      </c>
      <c r="BI231">
        <v>198.5</v>
      </c>
      <c r="BJ231">
        <v>272.381166749832</v>
      </c>
      <c r="BK231">
        <v>6</v>
      </c>
      <c r="BL231"/>
      <c r="BM231"/>
      <c r="BN231"/>
      <c r="BO231"/>
      <c r="BP231"/>
      <c r="BQ231"/>
      <c r="BR231"/>
      <c r="BS231"/>
      <c r="BT231"/>
      <c r="BU231"/>
      <c r="BV231"/>
      <c r="BW231"/>
      <c r="BX231"/>
    </row>
    <row r="232" s="1" customFormat="1" ht="15" customHeight="1" spans="1:76">
      <c r="A232">
        <v>77</v>
      </c>
      <c r="B232">
        <v>247</v>
      </c>
      <c r="C232" t="s">
        <v>667</v>
      </c>
      <c r="D232" t="s">
        <v>668</v>
      </c>
      <c r="E232">
        <v>2025</v>
      </c>
      <c r="F232" t="s">
        <v>215</v>
      </c>
      <c r="G232" t="s">
        <v>436</v>
      </c>
      <c r="H232" t="s">
        <v>80</v>
      </c>
      <c r="I232" t="s">
        <v>110</v>
      </c>
      <c r="J232" t="s">
        <v>96</v>
      </c>
      <c r="K232" t="s">
        <v>9</v>
      </c>
      <c r="L232" t="s">
        <v>126</v>
      </c>
      <c r="M232" t="s">
        <v>127</v>
      </c>
      <c r="N232" t="s">
        <v>128</v>
      </c>
      <c r="O232" t="s">
        <v>112</v>
      </c>
      <c r="P232" t="s">
        <v>101</v>
      </c>
      <c r="Q232" t="s">
        <v>102</v>
      </c>
      <c r="R232" t="s">
        <v>129</v>
      </c>
      <c r="S232" t="s">
        <v>104</v>
      </c>
      <c r="T232">
        <v>1.32</v>
      </c>
      <c r="U232">
        <v>5.5</v>
      </c>
      <c r="V232">
        <v>1.08</v>
      </c>
      <c r="W232"/>
      <c r="X232">
        <v>0.007</v>
      </c>
      <c r="Y232">
        <v>0.42</v>
      </c>
      <c r="Z232"/>
      <c r="AA232">
        <v>3.5</v>
      </c>
      <c r="AB232" t="s">
        <v>170</v>
      </c>
      <c r="AC232" t="s">
        <v>170</v>
      </c>
      <c r="AD232">
        <v>7.56</v>
      </c>
      <c r="AE232">
        <v>18.02</v>
      </c>
      <c r="AF232">
        <v>30.184</v>
      </c>
      <c r="AG232">
        <v>114.133</v>
      </c>
      <c r="AH232" t="s">
        <v>669</v>
      </c>
      <c r="AI232">
        <v>300</v>
      </c>
      <c r="AJ232">
        <v>2500</v>
      </c>
      <c r="AK232" t="s">
        <v>86</v>
      </c>
      <c r="AL232">
        <v>48</v>
      </c>
      <c r="AM232">
        <v>6</v>
      </c>
      <c r="AN232" t="s">
        <v>116</v>
      </c>
      <c r="AO232" t="s">
        <v>439</v>
      </c>
      <c r="AP232" t="s">
        <v>174</v>
      </c>
      <c r="AQ232" t="s">
        <v>89</v>
      </c>
      <c r="AR232" t="s">
        <v>89</v>
      </c>
      <c r="AS232" t="s">
        <v>82</v>
      </c>
      <c r="AT232" t="s">
        <v>90</v>
      </c>
      <c r="AU232" t="s">
        <v>221</v>
      </c>
      <c r="AV232" t="s">
        <v>409</v>
      </c>
      <c r="AW232" t="s">
        <v>230</v>
      </c>
      <c r="AX232" t="s">
        <v>670</v>
      </c>
      <c r="AY232" t="s">
        <v>410</v>
      </c>
      <c r="AZ232">
        <v>58.9583333333333</v>
      </c>
      <c r="BA232">
        <v>89.8059598059431</v>
      </c>
      <c r="BB232">
        <v>6</v>
      </c>
      <c r="BC232">
        <v>161.268333333333</v>
      </c>
      <c r="BD232">
        <v>177.716249388363</v>
      </c>
      <c r="BE232">
        <v>6</v>
      </c>
      <c r="BF232">
        <v>196.305</v>
      </c>
      <c r="BG232">
        <v>290.112687192408</v>
      </c>
      <c r="BH232">
        <v>6</v>
      </c>
      <c r="BI232">
        <v>793.578333333333</v>
      </c>
      <c r="BJ232">
        <v>519.647868095951</v>
      </c>
      <c r="BK232">
        <v>6</v>
      </c>
      <c r="BL232"/>
      <c r="BM232"/>
      <c r="BN232"/>
      <c r="BO232"/>
      <c r="BP232"/>
      <c r="BQ232"/>
      <c r="BR232"/>
      <c r="BS232"/>
      <c r="BT232"/>
      <c r="BU232"/>
      <c r="BV232"/>
      <c r="BW232"/>
      <c r="BX232"/>
    </row>
    <row r="233" s="1" customFormat="1" ht="15" customHeight="1" spans="1:76">
      <c r="A233">
        <v>77</v>
      </c>
      <c r="B233">
        <v>248</v>
      </c>
      <c r="C233" t="s">
        <v>667</v>
      </c>
      <c r="D233" t="s">
        <v>668</v>
      </c>
      <c r="E233">
        <v>2025</v>
      </c>
      <c r="F233" t="s">
        <v>215</v>
      </c>
      <c r="G233" t="s">
        <v>436</v>
      </c>
      <c r="H233" t="s">
        <v>80</v>
      </c>
      <c r="I233" t="s">
        <v>110</v>
      </c>
      <c r="J233" t="s">
        <v>82</v>
      </c>
      <c r="K233" t="s">
        <v>671</v>
      </c>
      <c r="L233" t="s">
        <v>84</v>
      </c>
      <c r="M233" t="s">
        <v>84</v>
      </c>
      <c r="N233" t="s">
        <v>84</v>
      </c>
      <c r="O233" t="s">
        <v>84</v>
      </c>
      <c r="P233"/>
      <c r="Q233"/>
      <c r="R233"/>
      <c r="S233"/>
      <c r="T233">
        <v>1.32</v>
      </c>
      <c r="U233">
        <v>5.5</v>
      </c>
      <c r="V233">
        <v>1.08</v>
      </c>
      <c r="W233"/>
      <c r="X233">
        <v>0.007</v>
      </c>
      <c r="Y233">
        <v>0.42</v>
      </c>
      <c r="Z233"/>
      <c r="AA233">
        <v>3.5</v>
      </c>
      <c r="AB233" t="s">
        <v>170</v>
      </c>
      <c r="AC233" t="s">
        <v>170</v>
      </c>
      <c r="AD233">
        <v>7.56</v>
      </c>
      <c r="AE233">
        <v>18.02</v>
      </c>
      <c r="AF233">
        <v>30.184</v>
      </c>
      <c r="AG233">
        <v>114.133</v>
      </c>
      <c r="AH233" t="s">
        <v>669</v>
      </c>
      <c r="AI233">
        <v>300</v>
      </c>
      <c r="AJ233">
        <v>2500</v>
      </c>
      <c r="AK233" t="s">
        <v>86</v>
      </c>
      <c r="AL233">
        <v>48</v>
      </c>
      <c r="AM233">
        <v>6</v>
      </c>
      <c r="AN233" t="s">
        <v>116</v>
      </c>
      <c r="AO233" t="s">
        <v>439</v>
      </c>
      <c r="AP233" t="s">
        <v>174</v>
      </c>
      <c r="AQ233" t="s">
        <v>89</v>
      </c>
      <c r="AR233" t="s">
        <v>89</v>
      </c>
      <c r="AS233" t="s">
        <v>82</v>
      </c>
      <c r="AT233" t="s">
        <v>90</v>
      </c>
      <c r="AU233" t="s">
        <v>91</v>
      </c>
      <c r="AV233" t="s">
        <v>92</v>
      </c>
      <c r="AW233" t="s">
        <v>230</v>
      </c>
      <c r="AX233" t="s">
        <v>670</v>
      </c>
      <c r="AY233" t="s">
        <v>353</v>
      </c>
      <c r="AZ233">
        <v>114.62451</v>
      </c>
      <c r="BA233">
        <v>77.4542128861626</v>
      </c>
      <c r="BB233">
        <v>6</v>
      </c>
      <c r="BC233">
        <v>418.97233</v>
      </c>
      <c r="BD233">
        <v>760.019545084818</v>
      </c>
      <c r="BE233">
        <v>6</v>
      </c>
      <c r="BF233">
        <v>249.01186</v>
      </c>
      <c r="BG233">
        <v>295.294218778048</v>
      </c>
      <c r="BH233">
        <v>6</v>
      </c>
      <c r="BI233">
        <v>150.19763</v>
      </c>
      <c r="BJ233">
        <v>48.4088738682651</v>
      </c>
      <c r="BK233">
        <v>6</v>
      </c>
      <c r="BL233"/>
      <c r="BM233"/>
      <c r="BN233"/>
      <c r="BO233"/>
      <c r="BP233"/>
      <c r="BQ233"/>
      <c r="BR233"/>
      <c r="BS233"/>
      <c r="BT233"/>
      <c r="BU233"/>
      <c r="BV233"/>
      <c r="BW233"/>
      <c r="BX233"/>
    </row>
    <row r="234" s="1" customFormat="1" ht="15" customHeight="1" spans="1:76">
      <c r="A234">
        <v>77</v>
      </c>
      <c r="B234">
        <v>249</v>
      </c>
      <c r="C234" t="s">
        <v>667</v>
      </c>
      <c r="D234" t="s">
        <v>668</v>
      </c>
      <c r="E234">
        <v>2025</v>
      </c>
      <c r="F234" t="s">
        <v>215</v>
      </c>
      <c r="G234" t="s">
        <v>436</v>
      </c>
      <c r="H234" t="s">
        <v>80</v>
      </c>
      <c r="I234" t="s">
        <v>110</v>
      </c>
      <c r="J234" t="s">
        <v>82</v>
      </c>
      <c r="K234" t="s">
        <v>671</v>
      </c>
      <c r="L234" t="s">
        <v>84</v>
      </c>
      <c r="M234" t="s">
        <v>84</v>
      </c>
      <c r="N234" t="s">
        <v>84</v>
      </c>
      <c r="O234" t="s">
        <v>84</v>
      </c>
      <c r="P234"/>
      <c r="Q234"/>
      <c r="R234"/>
      <c r="S234"/>
      <c r="T234">
        <v>1.32</v>
      </c>
      <c r="U234">
        <v>5.5</v>
      </c>
      <c r="V234">
        <v>1.08</v>
      </c>
      <c r="W234"/>
      <c r="X234">
        <v>0.007</v>
      </c>
      <c r="Y234">
        <v>0.42</v>
      </c>
      <c r="Z234"/>
      <c r="AA234">
        <v>3.5</v>
      </c>
      <c r="AB234" t="s">
        <v>170</v>
      </c>
      <c r="AC234" t="s">
        <v>170</v>
      </c>
      <c r="AD234">
        <v>7.56</v>
      </c>
      <c r="AE234">
        <v>18.02</v>
      </c>
      <c r="AF234">
        <v>30.184</v>
      </c>
      <c r="AG234">
        <v>114.133</v>
      </c>
      <c r="AH234" t="s">
        <v>669</v>
      </c>
      <c r="AI234">
        <v>300</v>
      </c>
      <c r="AJ234">
        <v>2500</v>
      </c>
      <c r="AK234" t="s">
        <v>86</v>
      </c>
      <c r="AL234">
        <v>48</v>
      </c>
      <c r="AM234">
        <v>6</v>
      </c>
      <c r="AN234" t="s">
        <v>116</v>
      </c>
      <c r="AO234" t="s">
        <v>439</v>
      </c>
      <c r="AP234" t="s">
        <v>174</v>
      </c>
      <c r="AQ234" t="s">
        <v>89</v>
      </c>
      <c r="AR234" t="s">
        <v>89</v>
      </c>
      <c r="AS234" t="s">
        <v>82</v>
      </c>
      <c r="AT234" t="s">
        <v>90</v>
      </c>
      <c r="AU234" t="s">
        <v>91</v>
      </c>
      <c r="AV234" t="s">
        <v>92</v>
      </c>
      <c r="AW234" t="s">
        <v>221</v>
      </c>
      <c r="AX234" t="s">
        <v>409</v>
      </c>
      <c r="AY234" t="s">
        <v>223</v>
      </c>
      <c r="AZ234">
        <v>114.62451</v>
      </c>
      <c r="BA234">
        <v>77.4542128861626</v>
      </c>
      <c r="BB234">
        <v>6</v>
      </c>
      <c r="BC234">
        <v>418.97233</v>
      </c>
      <c r="BD234">
        <v>760.019545084818</v>
      </c>
      <c r="BE234">
        <v>6</v>
      </c>
      <c r="BF234">
        <v>201.58103</v>
      </c>
      <c r="BG234">
        <f>(268.7747-BF234)*6^(1/2)</f>
        <v>164.590205444958</v>
      </c>
      <c r="BH234">
        <v>6</v>
      </c>
      <c r="BI234">
        <v>245.05929</v>
      </c>
      <c r="BJ234">
        <f>(343.87352-BI234)*6^(1/2)</f>
        <v>242.044442826018</v>
      </c>
      <c r="BK234">
        <v>6</v>
      </c>
      <c r="BL234"/>
      <c r="BM234"/>
      <c r="BN234"/>
      <c r="BO234"/>
      <c r="BP234"/>
      <c r="BQ234"/>
      <c r="BR234"/>
      <c r="BS234"/>
      <c r="BT234"/>
      <c r="BU234"/>
      <c r="BV234"/>
      <c r="BW234"/>
      <c r="BX234"/>
    </row>
    <row r="235" s="1" customFormat="1" ht="15" customHeight="1" spans="1:76">
      <c r="A235">
        <v>77</v>
      </c>
      <c r="B235">
        <v>250</v>
      </c>
      <c r="C235" t="s">
        <v>667</v>
      </c>
      <c r="D235" t="s">
        <v>668</v>
      </c>
      <c r="E235">
        <v>2025</v>
      </c>
      <c r="F235" t="s">
        <v>215</v>
      </c>
      <c r="G235" t="s">
        <v>436</v>
      </c>
      <c r="H235" t="s">
        <v>80</v>
      </c>
      <c r="I235" t="s">
        <v>110</v>
      </c>
      <c r="J235" t="s">
        <v>82</v>
      </c>
      <c r="K235" t="s">
        <v>671</v>
      </c>
      <c r="L235" t="s">
        <v>84</v>
      </c>
      <c r="M235" t="s">
        <v>84</v>
      </c>
      <c r="N235" t="s">
        <v>84</v>
      </c>
      <c r="O235" t="s">
        <v>84</v>
      </c>
      <c r="P235"/>
      <c r="Q235"/>
      <c r="R235"/>
      <c r="S235"/>
      <c r="T235">
        <v>1.32</v>
      </c>
      <c r="U235">
        <v>5.5</v>
      </c>
      <c r="V235">
        <v>1.08</v>
      </c>
      <c r="W235"/>
      <c r="X235">
        <v>0.007</v>
      </c>
      <c r="Y235">
        <v>0.42</v>
      </c>
      <c r="Z235"/>
      <c r="AA235">
        <v>3.5</v>
      </c>
      <c r="AB235" t="s">
        <v>170</v>
      </c>
      <c r="AC235" t="s">
        <v>170</v>
      </c>
      <c r="AD235">
        <v>7.56</v>
      </c>
      <c r="AE235">
        <v>18.02</v>
      </c>
      <c r="AF235">
        <v>30.184</v>
      </c>
      <c r="AG235">
        <v>114.133</v>
      </c>
      <c r="AH235" t="s">
        <v>669</v>
      </c>
      <c r="AI235">
        <v>300</v>
      </c>
      <c r="AJ235">
        <v>2500</v>
      </c>
      <c r="AK235" t="s">
        <v>86</v>
      </c>
      <c r="AL235">
        <v>48</v>
      </c>
      <c r="AM235">
        <v>6</v>
      </c>
      <c r="AN235" t="s">
        <v>116</v>
      </c>
      <c r="AO235" t="s">
        <v>439</v>
      </c>
      <c r="AP235" t="s">
        <v>174</v>
      </c>
      <c r="AQ235" t="s">
        <v>89</v>
      </c>
      <c r="AR235" t="s">
        <v>89</v>
      </c>
      <c r="AS235" t="s">
        <v>82</v>
      </c>
      <c r="AT235" t="s">
        <v>90</v>
      </c>
      <c r="AU235" t="s">
        <v>221</v>
      </c>
      <c r="AV235" t="s">
        <v>409</v>
      </c>
      <c r="AW235" t="s">
        <v>230</v>
      </c>
      <c r="AX235" t="s">
        <v>670</v>
      </c>
      <c r="AY235" t="s">
        <v>410</v>
      </c>
      <c r="AZ235">
        <v>114.62451</v>
      </c>
      <c r="BA235">
        <v>77.4542128861626</v>
      </c>
      <c r="BB235">
        <v>6</v>
      </c>
      <c r="BC235">
        <v>201.58103</v>
      </c>
      <c r="BD235">
        <f>(268.7747-BC235)*6^(1/2)</f>
        <v>164.590205444958</v>
      </c>
      <c r="BE235">
        <v>6</v>
      </c>
      <c r="BF235">
        <v>249.01186</v>
      </c>
      <c r="BG235">
        <v>48.4088738682651</v>
      </c>
      <c r="BH235">
        <v>6</v>
      </c>
      <c r="BI235">
        <v>826.08696</v>
      </c>
      <c r="BJ235">
        <f>(1023.71542-BI235)*6^(1/2)</f>
        <v>484.088885652036</v>
      </c>
      <c r="BK235">
        <v>6</v>
      </c>
      <c r="BL235"/>
      <c r="BM235"/>
      <c r="BN235"/>
      <c r="BO235"/>
      <c r="BP235"/>
      <c r="BQ235"/>
      <c r="BR235"/>
      <c r="BS235"/>
      <c r="BT235"/>
      <c r="BU235"/>
      <c r="BV235"/>
      <c r="BW235"/>
      <c r="BX235"/>
    </row>
    <row r="236" s="1" customFormat="1" ht="15" customHeight="1" spans="1:76">
      <c r="A236">
        <v>78</v>
      </c>
      <c r="B236">
        <v>251</v>
      </c>
      <c r="C236" t="s">
        <v>672</v>
      </c>
      <c r="D236" t="s">
        <v>673</v>
      </c>
      <c r="E236">
        <v>2024</v>
      </c>
      <c r="F236" t="s">
        <v>674</v>
      </c>
      <c r="G236" t="s">
        <v>675</v>
      </c>
      <c r="H236" t="s">
        <v>198</v>
      </c>
      <c r="I236" t="s">
        <v>110</v>
      </c>
      <c r="J236" t="s">
        <v>96</v>
      </c>
      <c r="K236" t="s">
        <v>9</v>
      </c>
      <c r="L236" t="s">
        <v>126</v>
      </c>
      <c r="M236" t="s">
        <v>510</v>
      </c>
      <c r="N236" t="s">
        <v>326</v>
      </c>
      <c r="O236" t="s">
        <v>100</v>
      </c>
      <c r="P236" t="s">
        <v>149</v>
      </c>
      <c r="Q236" t="s">
        <v>102</v>
      </c>
      <c r="R236" t="s">
        <v>129</v>
      </c>
      <c r="S236" t="s">
        <v>104</v>
      </c>
      <c r="T236">
        <v>3</v>
      </c>
      <c r="U236">
        <v>3.38</v>
      </c>
      <c r="V236">
        <v>3</v>
      </c>
      <c r="W236"/>
      <c r="X236">
        <v>0.15</v>
      </c>
      <c r="Y236">
        <v>0.9</v>
      </c>
      <c r="Z236">
        <v>25.8</v>
      </c>
      <c r="AA236"/>
      <c r="AB236" t="s">
        <v>105</v>
      </c>
      <c r="AC236" t="s">
        <v>105</v>
      </c>
      <c r="AD236"/>
      <c r="AE236"/>
      <c r="AF236">
        <v>30.533333</v>
      </c>
      <c r="AG236">
        <v>114.4</v>
      </c>
      <c r="AH236" t="s">
        <v>676</v>
      </c>
      <c r="AI236">
        <v>126</v>
      </c>
      <c r="AJ236">
        <v>50</v>
      </c>
      <c r="AK236" t="s">
        <v>86</v>
      </c>
      <c r="AL236">
        <v>288</v>
      </c>
      <c r="AM236">
        <v>4</v>
      </c>
      <c r="AN236" t="s">
        <v>270</v>
      </c>
      <c r="AO236" t="s">
        <v>183</v>
      </c>
      <c r="AP236" t="s">
        <v>677</v>
      </c>
      <c r="AQ236" t="s">
        <v>89</v>
      </c>
      <c r="AR236" t="s">
        <v>89</v>
      </c>
      <c r="AS236" t="s">
        <v>82</v>
      </c>
      <c r="AT236" t="s">
        <v>90</v>
      </c>
      <c r="AU236" t="s">
        <v>119</v>
      </c>
      <c r="AV236" t="s">
        <v>678</v>
      </c>
      <c r="AW236" t="s">
        <v>91</v>
      </c>
      <c r="AX236" t="s">
        <v>679</v>
      </c>
      <c r="AY236" t="s">
        <v>680</v>
      </c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</row>
    <row r="237" s="1" customFormat="1" ht="15" customHeight="1" spans="1:76">
      <c r="A237">
        <v>78</v>
      </c>
      <c r="B237">
        <v>252</v>
      </c>
      <c r="C237" t="s">
        <v>672</v>
      </c>
      <c r="D237" t="s">
        <v>673</v>
      </c>
      <c r="E237">
        <v>2024</v>
      </c>
      <c r="F237" t="s">
        <v>674</v>
      </c>
      <c r="G237" t="s">
        <v>675</v>
      </c>
      <c r="H237" t="s">
        <v>198</v>
      </c>
      <c r="I237" t="s">
        <v>110</v>
      </c>
      <c r="J237" t="s">
        <v>96</v>
      </c>
      <c r="K237" t="s">
        <v>9</v>
      </c>
      <c r="L237" t="s">
        <v>126</v>
      </c>
      <c r="M237" t="s">
        <v>242</v>
      </c>
      <c r="N237" t="s">
        <v>300</v>
      </c>
      <c r="O237" t="s">
        <v>100</v>
      </c>
      <c r="P237" t="s">
        <v>149</v>
      </c>
      <c r="Q237" t="s">
        <v>102</v>
      </c>
      <c r="R237" t="s">
        <v>103</v>
      </c>
      <c r="S237" t="s">
        <v>104</v>
      </c>
      <c r="T237">
        <v>3</v>
      </c>
      <c r="U237">
        <v>3.38</v>
      </c>
      <c r="V237">
        <v>3</v>
      </c>
      <c r="W237"/>
      <c r="X237">
        <v>0.15</v>
      </c>
      <c r="Y237">
        <v>0.9</v>
      </c>
      <c r="Z237">
        <v>25.8</v>
      </c>
      <c r="AA237"/>
      <c r="AB237" t="s">
        <v>105</v>
      </c>
      <c r="AC237" t="s">
        <v>105</v>
      </c>
      <c r="AD237"/>
      <c r="AE237"/>
      <c r="AF237">
        <v>30.533333</v>
      </c>
      <c r="AG237">
        <v>114.4</v>
      </c>
      <c r="AH237" t="s">
        <v>676</v>
      </c>
      <c r="AI237">
        <v>126</v>
      </c>
      <c r="AJ237">
        <v>50</v>
      </c>
      <c r="AK237" t="s">
        <v>86</v>
      </c>
      <c r="AL237">
        <v>288</v>
      </c>
      <c r="AM237">
        <v>4</v>
      </c>
      <c r="AN237" t="s">
        <v>270</v>
      </c>
      <c r="AO237" t="s">
        <v>183</v>
      </c>
      <c r="AP237" t="s">
        <v>677</v>
      </c>
      <c r="AQ237" t="s">
        <v>89</v>
      </c>
      <c r="AR237" t="s">
        <v>89</v>
      </c>
      <c r="AS237" t="s">
        <v>82</v>
      </c>
      <c r="AT237" t="s">
        <v>90</v>
      </c>
      <c r="AU237" t="s">
        <v>119</v>
      </c>
      <c r="AV237" t="s">
        <v>678</v>
      </c>
      <c r="AW237" t="s">
        <v>91</v>
      </c>
      <c r="AX237" t="s">
        <v>679</v>
      </c>
      <c r="AY237" t="s">
        <v>680</v>
      </c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</row>
    <row r="238" s="1" customFormat="1" ht="15" customHeight="1" spans="1:76">
      <c r="A238">
        <v>78</v>
      </c>
      <c r="B238">
        <v>253</v>
      </c>
      <c r="C238" t="s">
        <v>672</v>
      </c>
      <c r="D238" t="s">
        <v>673</v>
      </c>
      <c r="E238">
        <v>2024</v>
      </c>
      <c r="F238" t="s">
        <v>674</v>
      </c>
      <c r="G238" t="s">
        <v>675</v>
      </c>
      <c r="H238" t="s">
        <v>198</v>
      </c>
      <c r="I238" t="s">
        <v>110</v>
      </c>
      <c r="J238" t="s">
        <v>96</v>
      </c>
      <c r="K238" t="s">
        <v>9</v>
      </c>
      <c r="L238" t="s">
        <v>146</v>
      </c>
      <c r="M238" t="s">
        <v>147</v>
      </c>
      <c r="N238" t="s">
        <v>681</v>
      </c>
      <c r="O238" t="s">
        <v>112</v>
      </c>
      <c r="P238" t="s">
        <v>149</v>
      </c>
      <c r="Q238" t="s">
        <v>210</v>
      </c>
      <c r="R238" t="s">
        <v>103</v>
      </c>
      <c r="S238" t="s">
        <v>104</v>
      </c>
      <c r="T238">
        <v>3</v>
      </c>
      <c r="U238">
        <v>3.38</v>
      </c>
      <c r="V238">
        <v>3</v>
      </c>
      <c r="W238"/>
      <c r="X238">
        <v>0.15</v>
      </c>
      <c r="Y238">
        <v>0.9</v>
      </c>
      <c r="Z238">
        <v>25.8</v>
      </c>
      <c r="AA238"/>
      <c r="AB238" t="s">
        <v>105</v>
      </c>
      <c r="AC238" t="s">
        <v>105</v>
      </c>
      <c r="AD238"/>
      <c r="AE238"/>
      <c r="AF238">
        <v>30.533333</v>
      </c>
      <c r="AG238">
        <v>114.4</v>
      </c>
      <c r="AH238" t="s">
        <v>676</v>
      </c>
      <c r="AI238">
        <v>126</v>
      </c>
      <c r="AJ238">
        <v>50</v>
      </c>
      <c r="AK238" t="s">
        <v>86</v>
      </c>
      <c r="AL238">
        <v>288</v>
      </c>
      <c r="AM238">
        <v>4</v>
      </c>
      <c r="AN238" t="s">
        <v>270</v>
      </c>
      <c r="AO238" t="s">
        <v>183</v>
      </c>
      <c r="AP238" t="s">
        <v>677</v>
      </c>
      <c r="AQ238" t="s">
        <v>89</v>
      </c>
      <c r="AR238" t="s">
        <v>89</v>
      </c>
      <c r="AS238" t="s">
        <v>82</v>
      </c>
      <c r="AT238" t="s">
        <v>90</v>
      </c>
      <c r="AU238" t="s">
        <v>119</v>
      </c>
      <c r="AV238" t="s">
        <v>678</v>
      </c>
      <c r="AW238" t="s">
        <v>91</v>
      </c>
      <c r="AX238" t="s">
        <v>679</v>
      </c>
      <c r="AY238" t="s">
        <v>680</v>
      </c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</row>
    <row r="239" s="1" customFormat="1" ht="15" customHeight="1" spans="1:76">
      <c r="A239">
        <v>78</v>
      </c>
      <c r="B239">
        <v>254</v>
      </c>
      <c r="C239" t="s">
        <v>672</v>
      </c>
      <c r="D239" t="s">
        <v>673</v>
      </c>
      <c r="E239">
        <v>2024</v>
      </c>
      <c r="F239" t="s">
        <v>674</v>
      </c>
      <c r="G239" t="s">
        <v>675</v>
      </c>
      <c r="H239" t="s">
        <v>198</v>
      </c>
      <c r="I239" t="s">
        <v>110</v>
      </c>
      <c r="J239" t="s">
        <v>96</v>
      </c>
      <c r="K239" t="s">
        <v>9</v>
      </c>
      <c r="L239" t="s">
        <v>126</v>
      </c>
      <c r="M239" t="s">
        <v>127</v>
      </c>
      <c r="N239" t="s">
        <v>128</v>
      </c>
      <c r="O239" t="s">
        <v>112</v>
      </c>
      <c r="P239" t="s">
        <v>101</v>
      </c>
      <c r="Q239" t="s">
        <v>102</v>
      </c>
      <c r="R239" t="s">
        <v>129</v>
      </c>
      <c r="S239" t="s">
        <v>104</v>
      </c>
      <c r="T239">
        <v>3</v>
      </c>
      <c r="U239">
        <v>3.38</v>
      </c>
      <c r="V239">
        <v>3</v>
      </c>
      <c r="W239"/>
      <c r="X239">
        <v>0.15</v>
      </c>
      <c r="Y239">
        <v>0.9</v>
      </c>
      <c r="Z239">
        <v>25.8</v>
      </c>
      <c r="AA239"/>
      <c r="AB239" t="s">
        <v>105</v>
      </c>
      <c r="AC239" t="s">
        <v>105</v>
      </c>
      <c r="AD239"/>
      <c r="AE239"/>
      <c r="AF239">
        <v>30.533333</v>
      </c>
      <c r="AG239">
        <v>114.4</v>
      </c>
      <c r="AH239" t="s">
        <v>676</v>
      </c>
      <c r="AI239">
        <v>126</v>
      </c>
      <c r="AJ239">
        <v>50</v>
      </c>
      <c r="AK239" t="s">
        <v>86</v>
      </c>
      <c r="AL239">
        <v>288</v>
      </c>
      <c r="AM239">
        <v>4</v>
      </c>
      <c r="AN239" t="s">
        <v>270</v>
      </c>
      <c r="AO239" t="s">
        <v>183</v>
      </c>
      <c r="AP239" t="s">
        <v>677</v>
      </c>
      <c r="AQ239" t="s">
        <v>89</v>
      </c>
      <c r="AR239" t="s">
        <v>89</v>
      </c>
      <c r="AS239" t="s">
        <v>82</v>
      </c>
      <c r="AT239" t="s">
        <v>90</v>
      </c>
      <c r="AU239" t="s">
        <v>119</v>
      </c>
      <c r="AV239" t="s">
        <v>678</v>
      </c>
      <c r="AW239" t="s">
        <v>91</v>
      </c>
      <c r="AX239" t="s">
        <v>679</v>
      </c>
      <c r="AY239" t="s">
        <v>680</v>
      </c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</row>
    <row r="240" s="1" customFormat="1" ht="15" customHeight="1" spans="1:76">
      <c r="A240">
        <v>78</v>
      </c>
      <c r="B240">
        <v>255</v>
      </c>
      <c r="C240" t="s">
        <v>672</v>
      </c>
      <c r="D240" t="s">
        <v>673</v>
      </c>
      <c r="E240">
        <v>2024</v>
      </c>
      <c r="F240" t="s">
        <v>674</v>
      </c>
      <c r="G240" t="s">
        <v>675</v>
      </c>
      <c r="H240" t="s">
        <v>198</v>
      </c>
      <c r="I240" t="s">
        <v>110</v>
      </c>
      <c r="J240" t="s">
        <v>96</v>
      </c>
      <c r="K240" t="s">
        <v>9</v>
      </c>
      <c r="L240" t="s">
        <v>97</v>
      </c>
      <c r="M240" t="s">
        <v>98</v>
      </c>
      <c r="N240" t="s">
        <v>99</v>
      </c>
      <c r="O240" t="s">
        <v>112</v>
      </c>
      <c r="P240" t="s">
        <v>101</v>
      </c>
      <c r="Q240" t="s">
        <v>102</v>
      </c>
      <c r="R240" t="s">
        <v>103</v>
      </c>
      <c r="S240" t="s">
        <v>104</v>
      </c>
      <c r="T240">
        <v>3</v>
      </c>
      <c r="U240">
        <v>3.38</v>
      </c>
      <c r="V240">
        <v>3</v>
      </c>
      <c r="W240"/>
      <c r="X240">
        <v>0.15</v>
      </c>
      <c r="Y240">
        <v>0.9</v>
      </c>
      <c r="Z240">
        <v>25.8</v>
      </c>
      <c r="AA240"/>
      <c r="AB240" t="s">
        <v>105</v>
      </c>
      <c r="AC240" t="s">
        <v>105</v>
      </c>
      <c r="AD240"/>
      <c r="AE240"/>
      <c r="AF240">
        <v>30.533333</v>
      </c>
      <c r="AG240">
        <v>114.4</v>
      </c>
      <c r="AH240" t="s">
        <v>676</v>
      </c>
      <c r="AI240">
        <v>126</v>
      </c>
      <c r="AJ240">
        <v>50</v>
      </c>
      <c r="AK240" t="s">
        <v>86</v>
      </c>
      <c r="AL240">
        <v>288</v>
      </c>
      <c r="AM240">
        <v>4</v>
      </c>
      <c r="AN240" t="s">
        <v>270</v>
      </c>
      <c r="AO240" t="s">
        <v>183</v>
      </c>
      <c r="AP240" t="s">
        <v>677</v>
      </c>
      <c r="AQ240" t="s">
        <v>89</v>
      </c>
      <c r="AR240" t="s">
        <v>89</v>
      </c>
      <c r="AS240" t="s">
        <v>82</v>
      </c>
      <c r="AT240" t="s">
        <v>90</v>
      </c>
      <c r="AU240" t="s">
        <v>119</v>
      </c>
      <c r="AV240" t="s">
        <v>678</v>
      </c>
      <c r="AW240" t="s">
        <v>91</v>
      </c>
      <c r="AX240" t="s">
        <v>679</v>
      </c>
      <c r="AY240" t="s">
        <v>680</v>
      </c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</row>
    <row r="241" s="1" customFormat="1" ht="15" customHeight="1" spans="1:76">
      <c r="A241">
        <v>78</v>
      </c>
      <c r="B241">
        <v>256</v>
      </c>
      <c r="C241" t="s">
        <v>672</v>
      </c>
      <c r="D241" t="s">
        <v>673</v>
      </c>
      <c r="E241">
        <v>2024</v>
      </c>
      <c r="F241" t="s">
        <v>674</v>
      </c>
      <c r="G241" t="s">
        <v>675</v>
      </c>
      <c r="H241" t="s">
        <v>198</v>
      </c>
      <c r="I241" t="s">
        <v>110</v>
      </c>
      <c r="J241" t="s">
        <v>96</v>
      </c>
      <c r="K241" t="s">
        <v>9</v>
      </c>
      <c r="L241" t="s">
        <v>126</v>
      </c>
      <c r="M241" t="s">
        <v>168</v>
      </c>
      <c r="N241" t="s">
        <v>292</v>
      </c>
      <c r="O241" t="s">
        <v>112</v>
      </c>
      <c r="P241" t="s">
        <v>149</v>
      </c>
      <c r="Q241" t="s">
        <v>210</v>
      </c>
      <c r="R241" t="s">
        <v>103</v>
      </c>
      <c r="S241" t="s">
        <v>104</v>
      </c>
      <c r="T241">
        <v>3</v>
      </c>
      <c r="U241">
        <v>3.38</v>
      </c>
      <c r="V241">
        <v>3</v>
      </c>
      <c r="W241"/>
      <c r="X241">
        <v>0.15</v>
      </c>
      <c r="Y241">
        <v>0.9</v>
      </c>
      <c r="Z241">
        <v>25.8</v>
      </c>
      <c r="AA241"/>
      <c r="AB241" t="s">
        <v>105</v>
      </c>
      <c r="AC241" t="s">
        <v>105</v>
      </c>
      <c r="AD241"/>
      <c r="AE241"/>
      <c r="AF241">
        <v>30.533333</v>
      </c>
      <c r="AG241">
        <v>114.4</v>
      </c>
      <c r="AH241" t="s">
        <v>676</v>
      </c>
      <c r="AI241">
        <v>126</v>
      </c>
      <c r="AJ241">
        <v>50</v>
      </c>
      <c r="AK241" t="s">
        <v>86</v>
      </c>
      <c r="AL241">
        <v>288</v>
      </c>
      <c r="AM241">
        <v>4</v>
      </c>
      <c r="AN241" t="s">
        <v>270</v>
      </c>
      <c r="AO241" t="s">
        <v>183</v>
      </c>
      <c r="AP241" t="s">
        <v>677</v>
      </c>
      <c r="AQ241" t="s">
        <v>89</v>
      </c>
      <c r="AR241" t="s">
        <v>89</v>
      </c>
      <c r="AS241" t="s">
        <v>82</v>
      </c>
      <c r="AT241" t="s">
        <v>90</v>
      </c>
      <c r="AU241" t="s">
        <v>119</v>
      </c>
      <c r="AV241" t="s">
        <v>678</v>
      </c>
      <c r="AW241" t="s">
        <v>91</v>
      </c>
      <c r="AX241" t="s">
        <v>679</v>
      </c>
      <c r="AY241" t="s">
        <v>680</v>
      </c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</row>
    <row r="242" s="1" customFormat="1" ht="15" customHeight="1" spans="1:76">
      <c r="A242">
        <v>79</v>
      </c>
      <c r="B242">
        <v>257</v>
      </c>
      <c r="C242" t="s">
        <v>682</v>
      </c>
      <c r="D242" t="s">
        <v>683</v>
      </c>
      <c r="E242">
        <v>2025</v>
      </c>
      <c r="F242" t="s">
        <v>684</v>
      </c>
      <c r="G242" t="s">
        <v>685</v>
      </c>
      <c r="H242" t="s">
        <v>80</v>
      </c>
      <c r="I242" t="s">
        <v>110</v>
      </c>
      <c r="J242" t="s">
        <v>82</v>
      </c>
      <c r="K242" t="s">
        <v>686</v>
      </c>
      <c r="L242" t="s">
        <v>126</v>
      </c>
      <c r="M242" t="s">
        <v>168</v>
      </c>
      <c r="N242" t="s">
        <v>292</v>
      </c>
      <c r="O242" t="s">
        <v>112</v>
      </c>
      <c r="P242" t="s">
        <v>149</v>
      </c>
      <c r="Q242" t="s">
        <v>210</v>
      </c>
      <c r="R242" t="s">
        <v>103</v>
      </c>
      <c r="S242" t="s">
        <v>104</v>
      </c>
      <c r="T242">
        <v>0.61</v>
      </c>
      <c r="U242"/>
      <c r="V242"/>
      <c r="W242"/>
      <c r="X242">
        <v>0.03</v>
      </c>
      <c r="Y242"/>
      <c r="Z242">
        <v>18.8</v>
      </c>
      <c r="AA242"/>
      <c r="AB242" t="s">
        <v>170</v>
      </c>
      <c r="AC242" t="s">
        <v>170</v>
      </c>
      <c r="AD242"/>
      <c r="AE242"/>
      <c r="AF242">
        <v>30.466667</v>
      </c>
      <c r="AG242">
        <v>114.35</v>
      </c>
      <c r="AH242" t="s">
        <v>687</v>
      </c>
      <c r="AI242">
        <v>111</v>
      </c>
      <c r="AJ242">
        <v>200</v>
      </c>
      <c r="AK242" t="s">
        <v>86</v>
      </c>
      <c r="AL242">
        <v>40</v>
      </c>
      <c r="AM242">
        <v>5</v>
      </c>
      <c r="AN242" t="s">
        <v>131</v>
      </c>
      <c r="AO242" t="s">
        <v>439</v>
      </c>
      <c r="AP242" t="s">
        <v>174</v>
      </c>
      <c r="AQ242" t="s">
        <v>89</v>
      </c>
      <c r="AR242" t="s">
        <v>391</v>
      </c>
      <c r="AS242" t="s">
        <v>82</v>
      </c>
      <c r="AT242" t="s">
        <v>90</v>
      </c>
      <c r="AU242" t="s">
        <v>91</v>
      </c>
      <c r="AV242" t="s">
        <v>92</v>
      </c>
      <c r="AW242" t="s">
        <v>230</v>
      </c>
      <c r="AX242" t="s">
        <v>688</v>
      </c>
      <c r="AY242" t="s">
        <v>353</v>
      </c>
      <c r="AZ242">
        <v>647.646</v>
      </c>
      <c r="BA242">
        <v>78.412261</v>
      </c>
      <c r="BB242">
        <v>5</v>
      </c>
      <c r="BC242">
        <v>657.76</v>
      </c>
      <c r="BD242">
        <v>208.461483</v>
      </c>
      <c r="BE242">
        <v>5</v>
      </c>
      <c r="BF242">
        <v>460.688</v>
      </c>
      <c r="BG242">
        <v>41.875969</v>
      </c>
      <c r="BH242">
        <v>5</v>
      </c>
      <c r="BI242">
        <v>670.062</v>
      </c>
      <c r="BJ242">
        <v>156.381705</v>
      </c>
      <c r="BK242">
        <v>5</v>
      </c>
      <c r="BL242"/>
      <c r="BM242"/>
      <c r="BN242"/>
      <c r="BO242"/>
      <c r="BP242"/>
      <c r="BQ242"/>
      <c r="BR242"/>
      <c r="BS242"/>
      <c r="BT242"/>
      <c r="BU242"/>
      <c r="BV242"/>
      <c r="BW242"/>
      <c r="BX242"/>
    </row>
    <row r="243" s="1" customFormat="1" ht="15" customHeight="1" spans="1:76">
      <c r="A243">
        <v>79</v>
      </c>
      <c r="B243">
        <v>258</v>
      </c>
      <c r="C243" t="s">
        <v>682</v>
      </c>
      <c r="D243" t="s">
        <v>683</v>
      </c>
      <c r="E243">
        <v>2025</v>
      </c>
      <c r="F243" t="s">
        <v>684</v>
      </c>
      <c r="G243" t="s">
        <v>685</v>
      </c>
      <c r="H243" t="s">
        <v>80</v>
      </c>
      <c r="I243" t="s">
        <v>110</v>
      </c>
      <c r="J243" t="s">
        <v>82</v>
      </c>
      <c r="K243" t="s">
        <v>686</v>
      </c>
      <c r="L243" t="s">
        <v>126</v>
      </c>
      <c r="M243" t="s">
        <v>168</v>
      </c>
      <c r="N243" t="s">
        <v>292</v>
      </c>
      <c r="O243" t="s">
        <v>112</v>
      </c>
      <c r="P243" t="s">
        <v>149</v>
      </c>
      <c r="Q243" t="s">
        <v>210</v>
      </c>
      <c r="R243" t="s">
        <v>103</v>
      </c>
      <c r="S243" t="s">
        <v>104</v>
      </c>
      <c r="T243">
        <v>0.61</v>
      </c>
      <c r="U243"/>
      <c r="V243"/>
      <c r="W243"/>
      <c r="X243">
        <v>0.03</v>
      </c>
      <c r="Y243"/>
      <c r="Z243">
        <v>18.8</v>
      </c>
      <c r="AA243"/>
      <c r="AB243" t="s">
        <v>170</v>
      </c>
      <c r="AC243" t="s">
        <v>170</v>
      </c>
      <c r="AD243"/>
      <c r="AE243"/>
      <c r="AF243">
        <v>30.466667</v>
      </c>
      <c r="AG243">
        <v>114.35</v>
      </c>
      <c r="AH243" t="s">
        <v>687</v>
      </c>
      <c r="AI243">
        <v>111</v>
      </c>
      <c r="AJ243">
        <v>200</v>
      </c>
      <c r="AK243" t="s">
        <v>86</v>
      </c>
      <c r="AL243">
        <v>40</v>
      </c>
      <c r="AM243">
        <v>5</v>
      </c>
      <c r="AN243" t="s">
        <v>131</v>
      </c>
      <c r="AO243" t="s">
        <v>439</v>
      </c>
      <c r="AP243" t="s">
        <v>174</v>
      </c>
      <c r="AQ243" t="s">
        <v>89</v>
      </c>
      <c r="AR243" t="s">
        <v>391</v>
      </c>
      <c r="AS243" t="s">
        <v>82</v>
      </c>
      <c r="AT243" t="s">
        <v>90</v>
      </c>
      <c r="AU243" t="s">
        <v>91</v>
      </c>
      <c r="AV243" t="s">
        <v>92</v>
      </c>
      <c r="AW243" t="s">
        <v>230</v>
      </c>
      <c r="AX243" t="s">
        <v>689</v>
      </c>
      <c r="AY243" t="s">
        <v>353</v>
      </c>
      <c r="AZ243">
        <v>647.646</v>
      </c>
      <c r="BA243">
        <v>78.412261</v>
      </c>
      <c r="BB243">
        <v>5</v>
      </c>
      <c r="BC243">
        <v>657.76</v>
      </c>
      <c r="BD243">
        <v>208.461483</v>
      </c>
      <c r="BE243">
        <v>5</v>
      </c>
      <c r="BF243">
        <v>705.964</v>
      </c>
      <c r="BG243">
        <v>57.316236</v>
      </c>
      <c r="BH243">
        <v>5</v>
      </c>
      <c r="BI243">
        <v>713.556</v>
      </c>
      <c r="BJ243">
        <v>139.385126</v>
      </c>
      <c r="BK243">
        <v>5</v>
      </c>
      <c r="BL243"/>
      <c r="BM243"/>
      <c r="BN243"/>
      <c r="BO243"/>
      <c r="BP243"/>
      <c r="BQ243"/>
      <c r="BR243"/>
      <c r="BS243"/>
      <c r="BT243"/>
      <c r="BU243"/>
      <c r="BV243"/>
      <c r="BW243"/>
      <c r="BX243"/>
    </row>
    <row r="244" s="1" customFormat="1" ht="15" customHeight="1" spans="1:76">
      <c r="A244">
        <v>79</v>
      </c>
      <c r="B244">
        <v>259</v>
      </c>
      <c r="C244" t="s">
        <v>682</v>
      </c>
      <c r="D244" t="s">
        <v>683</v>
      </c>
      <c r="E244">
        <v>2025</v>
      </c>
      <c r="F244" t="s">
        <v>684</v>
      </c>
      <c r="G244" t="s">
        <v>685</v>
      </c>
      <c r="H244" t="s">
        <v>80</v>
      </c>
      <c r="I244" t="s">
        <v>110</v>
      </c>
      <c r="J244" t="s">
        <v>82</v>
      </c>
      <c r="K244" t="s">
        <v>686</v>
      </c>
      <c r="L244" t="s">
        <v>126</v>
      </c>
      <c r="M244" t="s">
        <v>168</v>
      </c>
      <c r="N244" t="s">
        <v>292</v>
      </c>
      <c r="O244" t="s">
        <v>112</v>
      </c>
      <c r="P244" t="s">
        <v>149</v>
      </c>
      <c r="Q244" t="s">
        <v>210</v>
      </c>
      <c r="R244" t="s">
        <v>103</v>
      </c>
      <c r="S244" t="s">
        <v>104</v>
      </c>
      <c r="T244">
        <v>0.61</v>
      </c>
      <c r="U244"/>
      <c r="V244"/>
      <c r="W244"/>
      <c r="X244">
        <v>0.03</v>
      </c>
      <c r="Y244"/>
      <c r="Z244">
        <v>18.8</v>
      </c>
      <c r="AA244"/>
      <c r="AB244" t="s">
        <v>170</v>
      </c>
      <c r="AC244" t="s">
        <v>170</v>
      </c>
      <c r="AD244"/>
      <c r="AE244"/>
      <c r="AF244">
        <v>30.466667</v>
      </c>
      <c r="AG244">
        <v>114.35</v>
      </c>
      <c r="AH244" t="s">
        <v>687</v>
      </c>
      <c r="AI244">
        <v>111</v>
      </c>
      <c r="AJ244">
        <v>200</v>
      </c>
      <c r="AK244" t="s">
        <v>86</v>
      </c>
      <c r="AL244">
        <v>40</v>
      </c>
      <c r="AM244">
        <v>5</v>
      </c>
      <c r="AN244" t="s">
        <v>131</v>
      </c>
      <c r="AO244" t="s">
        <v>439</v>
      </c>
      <c r="AP244" t="s">
        <v>174</v>
      </c>
      <c r="AQ244" t="s">
        <v>89</v>
      </c>
      <c r="AR244" t="s">
        <v>391</v>
      </c>
      <c r="AS244" t="s">
        <v>82</v>
      </c>
      <c r="AT244" t="s">
        <v>90</v>
      </c>
      <c r="AU244" t="s">
        <v>230</v>
      </c>
      <c r="AV244" t="s">
        <v>688</v>
      </c>
      <c r="AW244" t="s">
        <v>230</v>
      </c>
      <c r="AX244" t="s">
        <v>689</v>
      </c>
      <c r="AY244" t="s">
        <v>647</v>
      </c>
      <c r="AZ244">
        <v>647.646</v>
      </c>
      <c r="BA244">
        <v>78.412261</v>
      </c>
      <c r="BB244">
        <v>5</v>
      </c>
      <c r="BC244">
        <v>460.688</v>
      </c>
      <c r="BD244">
        <v>41.875969</v>
      </c>
      <c r="BE244">
        <v>5</v>
      </c>
      <c r="BF244">
        <v>705.964</v>
      </c>
      <c r="BG244">
        <v>57.316236</v>
      </c>
      <c r="BH244">
        <v>5</v>
      </c>
      <c r="BI244">
        <v>633.376</v>
      </c>
      <c r="BJ244">
        <v>32.021897</v>
      </c>
      <c r="BK244">
        <v>5</v>
      </c>
      <c r="BL244"/>
      <c r="BM244"/>
      <c r="BN244"/>
      <c r="BO244"/>
      <c r="BP244"/>
      <c r="BQ244"/>
      <c r="BR244"/>
      <c r="BS244"/>
      <c r="BT244"/>
      <c r="BU244"/>
      <c r="BV244"/>
      <c r="BW244"/>
      <c r="BX244"/>
    </row>
    <row r="245" s="1" customFormat="1" ht="15" customHeight="1" spans="1:76">
      <c r="A245">
        <v>80</v>
      </c>
      <c r="B245">
        <v>260</v>
      </c>
      <c r="C245" t="s">
        <v>690</v>
      </c>
      <c r="D245" t="s">
        <v>691</v>
      </c>
      <c r="E245">
        <v>2025</v>
      </c>
      <c r="F245" t="s">
        <v>692</v>
      </c>
      <c r="G245" t="s">
        <v>693</v>
      </c>
      <c r="H245" t="s">
        <v>80</v>
      </c>
      <c r="I245" t="s">
        <v>110</v>
      </c>
      <c r="J245" t="s">
        <v>82</v>
      </c>
      <c r="K245" t="s">
        <v>686</v>
      </c>
      <c r="L245" t="s">
        <v>126</v>
      </c>
      <c r="M245" t="s">
        <v>168</v>
      </c>
      <c r="N245" t="s">
        <v>268</v>
      </c>
      <c r="O245" t="s">
        <v>112</v>
      </c>
      <c r="P245" t="s">
        <v>149</v>
      </c>
      <c r="Q245" t="s">
        <v>210</v>
      </c>
      <c r="R245" t="s">
        <v>103</v>
      </c>
      <c r="S245" t="s">
        <v>104</v>
      </c>
      <c r="T245">
        <v>2</v>
      </c>
      <c r="U245">
        <v>0.329</v>
      </c>
      <c r="V245">
        <v>6</v>
      </c>
      <c r="W245"/>
      <c r="X245">
        <v>0.05</v>
      </c>
      <c r="Y245">
        <v>0.067</v>
      </c>
      <c r="Z245"/>
      <c r="AA245"/>
      <c r="AB245" t="s">
        <v>105</v>
      </c>
      <c r="AC245" t="s">
        <v>170</v>
      </c>
      <c r="AD245"/>
      <c r="AE245"/>
      <c r="AF245">
        <v>29.433333</v>
      </c>
      <c r="AG245">
        <v>116.05</v>
      </c>
      <c r="AH245" t="s">
        <v>298</v>
      </c>
      <c r="AI245">
        <v>42</v>
      </c>
      <c r="AJ245">
        <v>100</v>
      </c>
      <c r="AK245" t="s">
        <v>86</v>
      </c>
      <c r="AL245">
        <v>32</v>
      </c>
      <c r="AM245">
        <v>4</v>
      </c>
      <c r="AN245" t="s">
        <v>117</v>
      </c>
      <c r="AO245" t="s">
        <v>131</v>
      </c>
      <c r="AP245" t="s">
        <v>694</v>
      </c>
      <c r="AQ245" t="s">
        <v>89</v>
      </c>
      <c r="AR245" t="s">
        <v>89</v>
      </c>
      <c r="AS245" t="s">
        <v>82</v>
      </c>
      <c r="AT245" t="s">
        <v>90</v>
      </c>
      <c r="AU245" t="s">
        <v>91</v>
      </c>
      <c r="AV245" t="s">
        <v>695</v>
      </c>
      <c r="AW245" t="s">
        <v>91</v>
      </c>
      <c r="AX245" t="s">
        <v>696</v>
      </c>
      <c r="AY245" t="s">
        <v>224</v>
      </c>
      <c r="AZ245">
        <v>8.48</v>
      </c>
      <c r="BA245">
        <v>1.34</v>
      </c>
      <c r="BB245">
        <v>4</v>
      </c>
      <c r="BC245">
        <v>8.98</v>
      </c>
      <c r="BD245">
        <v>1.68</v>
      </c>
      <c r="BE245">
        <v>4</v>
      </c>
      <c r="BF245">
        <v>5.57</v>
      </c>
      <c r="BG245">
        <v>1.59</v>
      </c>
      <c r="BH245">
        <v>4</v>
      </c>
      <c r="BI245">
        <v>4.51</v>
      </c>
      <c r="BJ245">
        <v>1.16</v>
      </c>
      <c r="BK245">
        <v>4</v>
      </c>
      <c r="BL245"/>
      <c r="BM245"/>
      <c r="BN245"/>
      <c r="BO245"/>
      <c r="BP245"/>
      <c r="BQ245"/>
      <c r="BR245"/>
      <c r="BS245"/>
      <c r="BT245"/>
      <c r="BU245"/>
      <c r="BV245"/>
      <c r="BW245"/>
      <c r="BX245"/>
    </row>
    <row r="246" s="1" customFormat="1" ht="15" customHeight="1" spans="1:76">
      <c r="A246">
        <v>80</v>
      </c>
      <c r="B246">
        <v>261</v>
      </c>
      <c r="C246" t="s">
        <v>690</v>
      </c>
      <c r="D246" t="s">
        <v>691</v>
      </c>
      <c r="E246">
        <v>2025</v>
      </c>
      <c r="F246" t="s">
        <v>692</v>
      </c>
      <c r="G246" t="s">
        <v>693</v>
      </c>
      <c r="H246" t="s">
        <v>80</v>
      </c>
      <c r="I246" t="s">
        <v>110</v>
      </c>
      <c r="J246" t="s">
        <v>82</v>
      </c>
      <c r="K246" t="s">
        <v>686</v>
      </c>
      <c r="L246" t="s">
        <v>126</v>
      </c>
      <c r="M246" t="s">
        <v>168</v>
      </c>
      <c r="N246" t="s">
        <v>268</v>
      </c>
      <c r="O246" t="s">
        <v>112</v>
      </c>
      <c r="P246" t="s">
        <v>149</v>
      </c>
      <c r="Q246" t="s">
        <v>210</v>
      </c>
      <c r="R246" t="s">
        <v>103</v>
      </c>
      <c r="S246" t="s">
        <v>104</v>
      </c>
      <c r="T246">
        <v>2</v>
      </c>
      <c r="U246">
        <v>0.329</v>
      </c>
      <c r="V246">
        <v>6</v>
      </c>
      <c r="W246"/>
      <c r="X246">
        <v>0.05</v>
      </c>
      <c r="Y246">
        <v>0.067</v>
      </c>
      <c r="Z246"/>
      <c r="AA246"/>
      <c r="AB246" t="s">
        <v>105</v>
      </c>
      <c r="AC246" t="s">
        <v>170</v>
      </c>
      <c r="AD246"/>
      <c r="AE246"/>
      <c r="AF246">
        <v>29.433333</v>
      </c>
      <c r="AG246">
        <v>116.05</v>
      </c>
      <c r="AH246" t="s">
        <v>298</v>
      </c>
      <c r="AI246">
        <v>42</v>
      </c>
      <c r="AJ246">
        <v>100</v>
      </c>
      <c r="AK246" t="s">
        <v>86</v>
      </c>
      <c r="AL246">
        <v>32</v>
      </c>
      <c r="AM246">
        <v>4</v>
      </c>
      <c r="AN246" t="s">
        <v>117</v>
      </c>
      <c r="AO246" t="s">
        <v>131</v>
      </c>
      <c r="AP246" t="s">
        <v>694</v>
      </c>
      <c r="AQ246" t="s">
        <v>89</v>
      </c>
      <c r="AR246" t="s">
        <v>89</v>
      </c>
      <c r="AS246" t="s">
        <v>82</v>
      </c>
      <c r="AT246" t="s">
        <v>90</v>
      </c>
      <c r="AU246" t="s">
        <v>91</v>
      </c>
      <c r="AV246" t="s">
        <v>695</v>
      </c>
      <c r="AW246" t="s">
        <v>93</v>
      </c>
      <c r="AX246" t="s">
        <v>697</v>
      </c>
      <c r="AY246" t="s">
        <v>95</v>
      </c>
      <c r="AZ246">
        <v>8.48</v>
      </c>
      <c r="BA246">
        <v>1.34</v>
      </c>
      <c r="BB246">
        <v>4</v>
      </c>
      <c r="BC246">
        <v>8.98</v>
      </c>
      <c r="BD246">
        <v>1.68</v>
      </c>
      <c r="BE246">
        <v>4</v>
      </c>
      <c r="BF246">
        <v>3.98</v>
      </c>
      <c r="BG246">
        <v>0.44</v>
      </c>
      <c r="BH246">
        <v>4</v>
      </c>
      <c r="BI246">
        <v>6.03</v>
      </c>
      <c r="BJ246">
        <v>1.41</v>
      </c>
      <c r="BK246">
        <v>4</v>
      </c>
      <c r="BL246"/>
      <c r="BM246"/>
      <c r="BN246"/>
      <c r="BO246"/>
      <c r="BP246"/>
      <c r="BQ246"/>
      <c r="BR246"/>
      <c r="BS246"/>
      <c r="BT246"/>
      <c r="BU246"/>
      <c r="BV246"/>
      <c r="BW246"/>
      <c r="BX246"/>
    </row>
    <row r="247" s="1" customFormat="1" ht="15" customHeight="1" spans="1:76">
      <c r="A247">
        <v>80</v>
      </c>
      <c r="B247">
        <v>262</v>
      </c>
      <c r="C247" t="s">
        <v>690</v>
      </c>
      <c r="D247" t="s">
        <v>691</v>
      </c>
      <c r="E247">
        <v>2025</v>
      </c>
      <c r="F247" t="s">
        <v>692</v>
      </c>
      <c r="G247" t="s">
        <v>693</v>
      </c>
      <c r="H247" t="s">
        <v>80</v>
      </c>
      <c r="I247" t="s">
        <v>110</v>
      </c>
      <c r="J247" t="s">
        <v>82</v>
      </c>
      <c r="K247" t="s">
        <v>686</v>
      </c>
      <c r="L247" t="s">
        <v>126</v>
      </c>
      <c r="M247" t="s">
        <v>168</v>
      </c>
      <c r="N247" t="s">
        <v>268</v>
      </c>
      <c r="O247" t="s">
        <v>112</v>
      </c>
      <c r="P247" t="s">
        <v>149</v>
      </c>
      <c r="Q247" t="s">
        <v>210</v>
      </c>
      <c r="R247" t="s">
        <v>103</v>
      </c>
      <c r="S247" t="s">
        <v>104</v>
      </c>
      <c r="T247">
        <v>2</v>
      </c>
      <c r="U247">
        <v>0.329</v>
      </c>
      <c r="V247"/>
      <c r="W247"/>
      <c r="X247">
        <v>0.05</v>
      </c>
      <c r="Y247">
        <v>0.067</v>
      </c>
      <c r="Z247"/>
      <c r="AA247"/>
      <c r="AB247" t="s">
        <v>105</v>
      </c>
      <c r="AC247" t="s">
        <v>170</v>
      </c>
      <c r="AD247"/>
      <c r="AE247"/>
      <c r="AF247">
        <v>29.433333</v>
      </c>
      <c r="AG247">
        <v>116.05</v>
      </c>
      <c r="AH247" t="s">
        <v>298</v>
      </c>
      <c r="AI247">
        <v>42</v>
      </c>
      <c r="AJ247">
        <v>100</v>
      </c>
      <c r="AK247" t="s">
        <v>86</v>
      </c>
      <c r="AL247">
        <v>32</v>
      </c>
      <c r="AM247">
        <v>4</v>
      </c>
      <c r="AN247" t="s">
        <v>117</v>
      </c>
      <c r="AO247" t="s">
        <v>131</v>
      </c>
      <c r="AP247" t="s">
        <v>694</v>
      </c>
      <c r="AQ247" t="s">
        <v>89</v>
      </c>
      <c r="AR247" t="s">
        <v>89</v>
      </c>
      <c r="AS247" t="s">
        <v>82</v>
      </c>
      <c r="AT247" t="s">
        <v>90</v>
      </c>
      <c r="AU247" t="s">
        <v>91</v>
      </c>
      <c r="AV247" t="s">
        <v>696</v>
      </c>
      <c r="AW247" t="s">
        <v>93</v>
      </c>
      <c r="AX247" t="s">
        <v>697</v>
      </c>
      <c r="AY247" t="s">
        <v>95</v>
      </c>
      <c r="AZ247">
        <v>8.48</v>
      </c>
      <c r="BA247">
        <v>1.34</v>
      </c>
      <c r="BB247">
        <v>4</v>
      </c>
      <c r="BC247">
        <v>5.57</v>
      </c>
      <c r="BD247">
        <v>1.59</v>
      </c>
      <c r="BE247">
        <v>4</v>
      </c>
      <c r="BF247">
        <v>3.98</v>
      </c>
      <c r="BG247">
        <v>0.44</v>
      </c>
      <c r="BH247">
        <v>4</v>
      </c>
      <c r="BI247">
        <v>4.33</v>
      </c>
      <c r="BJ247">
        <v>0.51</v>
      </c>
      <c r="BK247">
        <v>4</v>
      </c>
      <c r="BL247"/>
      <c r="BM247"/>
      <c r="BN247"/>
      <c r="BO247"/>
      <c r="BP247"/>
      <c r="BQ247"/>
      <c r="BR247"/>
      <c r="BS247"/>
      <c r="BT247"/>
      <c r="BU247"/>
      <c r="BV247"/>
      <c r="BW247"/>
      <c r="BX247"/>
    </row>
    <row r="248" s="1" customFormat="1" ht="15" customHeight="1" spans="1:76">
      <c r="A248">
        <v>81</v>
      </c>
      <c r="B248">
        <v>263</v>
      </c>
      <c r="C248" t="s">
        <v>698</v>
      </c>
      <c r="D248" t="s">
        <v>699</v>
      </c>
      <c r="E248">
        <v>2024</v>
      </c>
      <c r="F248" t="s">
        <v>700</v>
      </c>
      <c r="G248" t="s">
        <v>701</v>
      </c>
      <c r="H248" t="s">
        <v>198</v>
      </c>
      <c r="I248" t="s">
        <v>110</v>
      </c>
      <c r="J248" t="s">
        <v>96</v>
      </c>
      <c r="K248" t="s">
        <v>9</v>
      </c>
      <c r="L248" t="s">
        <v>126</v>
      </c>
      <c r="M248" t="s">
        <v>168</v>
      </c>
      <c r="N248" t="s">
        <v>268</v>
      </c>
      <c r="O248" t="s">
        <v>112</v>
      </c>
      <c r="P248" t="s">
        <v>149</v>
      </c>
      <c r="Q248" t="s">
        <v>210</v>
      </c>
      <c r="R248" t="s">
        <v>103</v>
      </c>
      <c r="S248" t="s">
        <v>104</v>
      </c>
      <c r="T248">
        <v>1.47</v>
      </c>
      <c r="U248">
        <v>2.25</v>
      </c>
      <c r="V248"/>
      <c r="W248"/>
      <c r="X248">
        <v>0.043</v>
      </c>
      <c r="Y248">
        <v>1.44</v>
      </c>
      <c r="Z248">
        <v>25</v>
      </c>
      <c r="AA248">
        <v>5</v>
      </c>
      <c r="AB248" t="s">
        <v>105</v>
      </c>
      <c r="AC248" t="s">
        <v>105</v>
      </c>
      <c r="AD248"/>
      <c r="AE248"/>
      <c r="AF248"/>
      <c r="AG248"/>
      <c r="AH248" t="s">
        <v>702</v>
      </c>
      <c r="AI248">
        <v>20</v>
      </c>
      <c r="AJ248">
        <v>5.23</v>
      </c>
      <c r="AK248" t="s">
        <v>86</v>
      </c>
      <c r="AL248">
        <v>24</v>
      </c>
      <c r="AM248">
        <v>3</v>
      </c>
      <c r="AN248"/>
      <c r="AO248"/>
      <c r="AP248"/>
      <c r="AQ248" t="s">
        <v>89</v>
      </c>
      <c r="AR248" t="s">
        <v>644</v>
      </c>
      <c r="AS248" t="s">
        <v>82</v>
      </c>
      <c r="AT248" t="s">
        <v>90</v>
      </c>
      <c r="AU248" t="s">
        <v>91</v>
      </c>
      <c r="AV248" t="s">
        <v>703</v>
      </c>
      <c r="AW248" t="s">
        <v>221</v>
      </c>
      <c r="AX248" t="s">
        <v>704</v>
      </c>
      <c r="AY248" t="s">
        <v>223</v>
      </c>
      <c r="AZ248">
        <v>14.58</v>
      </c>
      <c r="BA248">
        <v>1.16</v>
      </c>
      <c r="BB248">
        <v>3</v>
      </c>
      <c r="BC248">
        <v>11.46</v>
      </c>
      <c r="BD248">
        <v>1.92</v>
      </c>
      <c r="BE248">
        <v>3</v>
      </c>
      <c r="BF248">
        <v>12.33</v>
      </c>
      <c r="BG248">
        <v>1.39</v>
      </c>
      <c r="BH248">
        <v>3</v>
      </c>
      <c r="BI248">
        <v>8.43</v>
      </c>
      <c r="BJ248">
        <v>1.25</v>
      </c>
      <c r="BK248">
        <v>3</v>
      </c>
      <c r="BL248"/>
      <c r="BM248"/>
      <c r="BN248"/>
      <c r="BO248"/>
      <c r="BP248"/>
      <c r="BQ248"/>
      <c r="BR248"/>
      <c r="BS248"/>
      <c r="BT248"/>
      <c r="BU248"/>
      <c r="BV248"/>
      <c r="BW248"/>
      <c r="BX248"/>
    </row>
    <row r="249" s="1" customFormat="1" ht="15" customHeight="1" spans="1:76">
      <c r="A249">
        <v>81</v>
      </c>
      <c r="B249">
        <v>264</v>
      </c>
      <c r="C249" t="s">
        <v>698</v>
      </c>
      <c r="D249" t="s">
        <v>699</v>
      </c>
      <c r="E249">
        <v>2024</v>
      </c>
      <c r="F249" t="s">
        <v>700</v>
      </c>
      <c r="G249" t="s">
        <v>701</v>
      </c>
      <c r="H249" t="s">
        <v>198</v>
      </c>
      <c r="I249" t="s">
        <v>110</v>
      </c>
      <c r="J249" t="s">
        <v>96</v>
      </c>
      <c r="K249" t="s">
        <v>9</v>
      </c>
      <c r="L249" t="s">
        <v>126</v>
      </c>
      <c r="M249" t="s">
        <v>168</v>
      </c>
      <c r="N249" t="s">
        <v>268</v>
      </c>
      <c r="O249" t="s">
        <v>112</v>
      </c>
      <c r="P249" t="s">
        <v>149</v>
      </c>
      <c r="Q249" t="s">
        <v>210</v>
      </c>
      <c r="R249" t="s">
        <v>103</v>
      </c>
      <c r="S249" t="s">
        <v>104</v>
      </c>
      <c r="T249">
        <v>1.47</v>
      </c>
      <c r="U249">
        <v>2.25</v>
      </c>
      <c r="V249"/>
      <c r="W249"/>
      <c r="X249">
        <v>0.043</v>
      </c>
      <c r="Y249">
        <v>1.44</v>
      </c>
      <c r="Z249">
        <v>25</v>
      </c>
      <c r="AA249">
        <v>5</v>
      </c>
      <c r="AB249" t="s">
        <v>105</v>
      </c>
      <c r="AC249" t="s">
        <v>105</v>
      </c>
      <c r="AD249"/>
      <c r="AE249"/>
      <c r="AF249"/>
      <c r="AG249"/>
      <c r="AH249" t="s">
        <v>702</v>
      </c>
      <c r="AI249">
        <v>20</v>
      </c>
      <c r="AJ249">
        <v>5.23</v>
      </c>
      <c r="AK249" t="s">
        <v>86</v>
      </c>
      <c r="AL249">
        <v>24</v>
      </c>
      <c r="AM249">
        <v>3</v>
      </c>
      <c r="AN249"/>
      <c r="AO249"/>
      <c r="AP249"/>
      <c r="AQ249" t="s">
        <v>185</v>
      </c>
      <c r="AR249" t="s">
        <v>186</v>
      </c>
      <c r="AS249" t="s">
        <v>82</v>
      </c>
      <c r="AT249" t="s">
        <v>705</v>
      </c>
      <c r="AU249" t="s">
        <v>91</v>
      </c>
      <c r="AV249" t="s">
        <v>703</v>
      </c>
      <c r="AW249" t="s">
        <v>221</v>
      </c>
      <c r="AX249" t="s">
        <v>704</v>
      </c>
      <c r="AY249" t="s">
        <v>223</v>
      </c>
      <c r="AZ249">
        <v>0.11008</v>
      </c>
      <c r="BA249">
        <v>0.00468</v>
      </c>
      <c r="BB249">
        <v>3</v>
      </c>
      <c r="BC249">
        <v>0.09577</v>
      </c>
      <c r="BD249">
        <v>0.00913</v>
      </c>
      <c r="BE249">
        <v>3</v>
      </c>
      <c r="BF249">
        <v>0.09732</v>
      </c>
      <c r="BG249">
        <v>0.00615</v>
      </c>
      <c r="BH249">
        <v>3</v>
      </c>
      <c r="BI249">
        <v>0.08393</v>
      </c>
      <c r="BJ249">
        <v>0.00975</v>
      </c>
      <c r="BK249">
        <v>3</v>
      </c>
      <c r="BL249"/>
      <c r="BM249"/>
      <c r="BN249"/>
      <c r="BO249"/>
      <c r="BP249"/>
      <c r="BQ249"/>
      <c r="BR249"/>
      <c r="BS249"/>
      <c r="BT249"/>
      <c r="BU249"/>
      <c r="BV249"/>
      <c r="BW249"/>
      <c r="BX249"/>
    </row>
    <row r="250" s="1" customFormat="1" ht="15" customHeight="1" spans="1:76">
      <c r="A250">
        <v>82</v>
      </c>
      <c r="B250">
        <v>265</v>
      </c>
      <c r="C250" t="s">
        <v>706</v>
      </c>
      <c r="D250" t="s">
        <v>707</v>
      </c>
      <c r="E250">
        <v>2025</v>
      </c>
      <c r="F250" t="s">
        <v>708</v>
      </c>
      <c r="G250" t="s">
        <v>709</v>
      </c>
      <c r="H250" t="s">
        <v>140</v>
      </c>
      <c r="I250" t="s">
        <v>110</v>
      </c>
      <c r="J250" t="s">
        <v>96</v>
      </c>
      <c r="K250" t="s">
        <v>9</v>
      </c>
      <c r="L250" t="s">
        <v>126</v>
      </c>
      <c r="M250" t="s">
        <v>168</v>
      </c>
      <c r="N250" t="s">
        <v>292</v>
      </c>
      <c r="O250" t="s">
        <v>112</v>
      </c>
      <c r="P250" t="s">
        <v>149</v>
      </c>
      <c r="Q250" t="s">
        <v>210</v>
      </c>
      <c r="R250" t="s">
        <v>103</v>
      </c>
      <c r="S250" t="s">
        <v>104</v>
      </c>
      <c r="T250">
        <v>1.69</v>
      </c>
      <c r="U250">
        <v>0.27</v>
      </c>
      <c r="V250"/>
      <c r="W250">
        <v>1.25</v>
      </c>
      <c r="X250">
        <v>0.027</v>
      </c>
      <c r="Y250">
        <v>0.12</v>
      </c>
      <c r="Z250">
        <v>24.9</v>
      </c>
      <c r="AA250"/>
      <c r="AB250"/>
      <c r="AC250"/>
      <c r="AD250"/>
      <c r="AE250"/>
      <c r="AF250"/>
      <c r="AG250"/>
      <c r="AH250" t="s">
        <v>390</v>
      </c>
      <c r="AI250">
        <v>40</v>
      </c>
      <c r="AJ250"/>
      <c r="AK250"/>
      <c r="AL250">
        <v>12</v>
      </c>
      <c r="AM250">
        <v>3</v>
      </c>
      <c r="AN250" t="s">
        <v>262</v>
      </c>
      <c r="AO250" t="s">
        <v>183</v>
      </c>
      <c r="AP250" t="s">
        <v>710</v>
      </c>
      <c r="AQ250" t="s">
        <v>89</v>
      </c>
      <c r="AR250" t="s">
        <v>89</v>
      </c>
      <c r="AS250" t="s">
        <v>82</v>
      </c>
      <c r="AT250" t="s">
        <v>711</v>
      </c>
      <c r="AU250" t="s">
        <v>91</v>
      </c>
      <c r="AV250" t="s">
        <v>712</v>
      </c>
      <c r="AW250" t="s">
        <v>119</v>
      </c>
      <c r="AX250" t="s">
        <v>713</v>
      </c>
      <c r="AY250" t="s">
        <v>163</v>
      </c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</row>
    <row r="251" s="1" customFormat="1" ht="15" customHeight="1" spans="1:76">
      <c r="A251">
        <v>82</v>
      </c>
      <c r="B251">
        <v>266</v>
      </c>
      <c r="C251" t="s">
        <v>706</v>
      </c>
      <c r="D251" t="s">
        <v>707</v>
      </c>
      <c r="E251">
        <v>2025</v>
      </c>
      <c r="F251" t="s">
        <v>708</v>
      </c>
      <c r="G251" t="s">
        <v>709</v>
      </c>
      <c r="H251" t="s">
        <v>140</v>
      </c>
      <c r="I251" t="s">
        <v>110</v>
      </c>
      <c r="J251" t="s">
        <v>96</v>
      </c>
      <c r="K251" t="s">
        <v>9</v>
      </c>
      <c r="L251" t="s">
        <v>126</v>
      </c>
      <c r="M251" t="s">
        <v>168</v>
      </c>
      <c r="N251" t="s">
        <v>292</v>
      </c>
      <c r="O251" t="s">
        <v>112</v>
      </c>
      <c r="P251" t="s">
        <v>149</v>
      </c>
      <c r="Q251" t="s">
        <v>210</v>
      </c>
      <c r="R251" t="s">
        <v>103</v>
      </c>
      <c r="S251" t="s">
        <v>104</v>
      </c>
      <c r="T251">
        <v>1.69</v>
      </c>
      <c r="U251">
        <v>0.27</v>
      </c>
      <c r="V251"/>
      <c r="W251">
        <v>1.25</v>
      </c>
      <c r="X251">
        <v>0.027</v>
      </c>
      <c r="Y251">
        <v>0.12</v>
      </c>
      <c r="Z251">
        <v>24.9</v>
      </c>
      <c r="AA251"/>
      <c r="AB251"/>
      <c r="AC251"/>
      <c r="AD251"/>
      <c r="AE251"/>
      <c r="AF251"/>
      <c r="AG251"/>
      <c r="AH251" t="s">
        <v>390</v>
      </c>
      <c r="AI251">
        <v>40</v>
      </c>
      <c r="AJ251"/>
      <c r="AK251"/>
      <c r="AL251">
        <v>12</v>
      </c>
      <c r="AM251">
        <v>3</v>
      </c>
      <c r="AN251" t="s">
        <v>262</v>
      </c>
      <c r="AO251" t="s">
        <v>183</v>
      </c>
      <c r="AP251" t="s">
        <v>710</v>
      </c>
      <c r="AQ251" t="s">
        <v>185</v>
      </c>
      <c r="AR251" t="s">
        <v>186</v>
      </c>
      <c r="AS251" t="s">
        <v>82</v>
      </c>
      <c r="AT251" t="s">
        <v>714</v>
      </c>
      <c r="AU251" t="s">
        <v>91</v>
      </c>
      <c r="AV251" t="s">
        <v>712</v>
      </c>
      <c r="AW251" t="s">
        <v>119</v>
      </c>
      <c r="AX251" t="s">
        <v>713</v>
      </c>
      <c r="AY251" t="s">
        <v>163</v>
      </c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</row>
    <row r="252" s="1" customFormat="1" ht="15" customHeight="1" spans="1:76">
      <c r="A252">
        <v>83</v>
      </c>
      <c r="B252">
        <v>267</v>
      </c>
      <c r="C252" t="s">
        <v>715</v>
      </c>
      <c r="D252" t="s">
        <v>716</v>
      </c>
      <c r="E252">
        <v>2025</v>
      </c>
      <c r="F252" t="s">
        <v>717</v>
      </c>
      <c r="G252" t="s">
        <v>718</v>
      </c>
      <c r="H252" t="s">
        <v>80</v>
      </c>
      <c r="I252" t="s">
        <v>110</v>
      </c>
      <c r="J252" t="s">
        <v>96</v>
      </c>
      <c r="K252" t="s">
        <v>9</v>
      </c>
      <c r="L252" t="s">
        <v>97</v>
      </c>
      <c r="M252" t="s">
        <v>98</v>
      </c>
      <c r="N252" t="s">
        <v>99</v>
      </c>
      <c r="O252" t="s">
        <v>112</v>
      </c>
      <c r="P252" t="s">
        <v>101</v>
      </c>
      <c r="Q252" t="s">
        <v>102</v>
      </c>
      <c r="R252" t="s">
        <v>103</v>
      </c>
      <c r="S252" t="s">
        <v>104</v>
      </c>
      <c r="T252">
        <v>0</v>
      </c>
      <c r="U252"/>
      <c r="V252"/>
      <c r="W252"/>
      <c r="X252"/>
      <c r="Y252"/>
      <c r="Z252">
        <v>28</v>
      </c>
      <c r="AA252"/>
      <c r="AB252" t="s">
        <v>105</v>
      </c>
      <c r="AC252" t="s">
        <v>105</v>
      </c>
      <c r="AD252"/>
      <c r="AE252"/>
      <c r="AF252">
        <v>36.366667</v>
      </c>
      <c r="AG252">
        <v>120.6</v>
      </c>
      <c r="AH252"/>
      <c r="AI252"/>
      <c r="AJ252">
        <v>150</v>
      </c>
      <c r="AK252" t="s">
        <v>86</v>
      </c>
      <c r="AL252">
        <v>120</v>
      </c>
      <c r="AM252">
        <v>5</v>
      </c>
      <c r="AN252"/>
      <c r="AO252" t="s">
        <v>219</v>
      </c>
      <c r="AP252" t="s">
        <v>694</v>
      </c>
      <c r="AQ252" t="s">
        <v>89</v>
      </c>
      <c r="AR252" t="s">
        <v>89</v>
      </c>
      <c r="AS252" t="s">
        <v>82</v>
      </c>
      <c r="AT252" t="s">
        <v>90</v>
      </c>
      <c r="AU252" t="s">
        <v>91</v>
      </c>
      <c r="AV252" t="s">
        <v>719</v>
      </c>
      <c r="AW252" t="s">
        <v>230</v>
      </c>
      <c r="AX252" t="s">
        <v>720</v>
      </c>
      <c r="AY252" t="s">
        <v>353</v>
      </c>
      <c r="AZ252">
        <v>15.5255255255255</v>
      </c>
      <c r="BA252">
        <v>16.2501036202687</v>
      </c>
      <c r="BB252">
        <v>20</v>
      </c>
      <c r="BC252">
        <v>16.006006006006</v>
      </c>
      <c r="BD252">
        <v>31.1572234702673</v>
      </c>
      <c r="BE252">
        <v>20</v>
      </c>
      <c r="BF252">
        <v>7.11711711711712</v>
      </c>
      <c r="BG252">
        <v>10.3409750310801</v>
      </c>
      <c r="BH252">
        <v>20</v>
      </c>
      <c r="BI252">
        <v>4.11411411411411</v>
      </c>
      <c r="BJ252">
        <v>3.7603545567564</v>
      </c>
      <c r="BK252">
        <v>20</v>
      </c>
      <c r="BL252"/>
      <c r="BM252"/>
      <c r="BN252"/>
      <c r="BO252"/>
      <c r="BP252"/>
      <c r="BQ252"/>
      <c r="BR252"/>
      <c r="BS252"/>
      <c r="BT252"/>
      <c r="BU252"/>
      <c r="BV252"/>
      <c r="BW252"/>
      <c r="BX252"/>
    </row>
    <row r="253" s="1" customFormat="1" ht="15" customHeight="1" spans="1:76">
      <c r="A253">
        <v>83</v>
      </c>
      <c r="B253">
        <v>268</v>
      </c>
      <c r="C253" t="s">
        <v>715</v>
      </c>
      <c r="D253" t="s">
        <v>716</v>
      </c>
      <c r="E253">
        <v>2025</v>
      </c>
      <c r="F253" t="s">
        <v>717</v>
      </c>
      <c r="G253" t="s">
        <v>718</v>
      </c>
      <c r="H253" t="s">
        <v>80</v>
      </c>
      <c r="I253" t="s">
        <v>110</v>
      </c>
      <c r="J253" t="s">
        <v>96</v>
      </c>
      <c r="K253" t="s">
        <v>9</v>
      </c>
      <c r="L253" t="s">
        <v>97</v>
      </c>
      <c r="M253" t="s">
        <v>98</v>
      </c>
      <c r="N253" t="s">
        <v>99</v>
      </c>
      <c r="O253" t="s">
        <v>112</v>
      </c>
      <c r="P253" t="s">
        <v>101</v>
      </c>
      <c r="Q253" t="s">
        <v>102</v>
      </c>
      <c r="R253" t="s">
        <v>103</v>
      </c>
      <c r="S253" t="s">
        <v>104</v>
      </c>
      <c r="T253">
        <v>0</v>
      </c>
      <c r="U253"/>
      <c r="V253"/>
      <c r="W253"/>
      <c r="X253"/>
      <c r="Y253"/>
      <c r="Z253">
        <v>28</v>
      </c>
      <c r="AA253"/>
      <c r="AB253" t="s">
        <v>105</v>
      </c>
      <c r="AC253" t="s">
        <v>105</v>
      </c>
      <c r="AD253"/>
      <c r="AE253"/>
      <c r="AF253">
        <v>36.366667</v>
      </c>
      <c r="AG253">
        <v>120.6</v>
      </c>
      <c r="AH253"/>
      <c r="AI253"/>
      <c r="AJ253">
        <v>150</v>
      </c>
      <c r="AK253" t="s">
        <v>86</v>
      </c>
      <c r="AL253">
        <v>120</v>
      </c>
      <c r="AM253">
        <v>5</v>
      </c>
      <c r="AN253"/>
      <c r="AO253" t="s">
        <v>219</v>
      </c>
      <c r="AP253" t="s">
        <v>694</v>
      </c>
      <c r="AQ253" t="s">
        <v>89</v>
      </c>
      <c r="AR253" t="s">
        <v>89</v>
      </c>
      <c r="AS253" t="s">
        <v>82</v>
      </c>
      <c r="AT253" t="s">
        <v>90</v>
      </c>
      <c r="AU253" t="s">
        <v>91</v>
      </c>
      <c r="AV253" t="s">
        <v>721</v>
      </c>
      <c r="AW253" t="s">
        <v>230</v>
      </c>
      <c r="AX253" t="s">
        <v>720</v>
      </c>
      <c r="AY253" t="s">
        <v>353</v>
      </c>
      <c r="AZ253">
        <v>15.5255255255255</v>
      </c>
      <c r="BA253">
        <v>16.2501036202687</v>
      </c>
      <c r="BB253">
        <v>20</v>
      </c>
      <c r="BC253">
        <v>4.65465465465465</v>
      </c>
      <c r="BD253">
        <v>4.96903994999953</v>
      </c>
      <c r="BE253">
        <v>20</v>
      </c>
      <c r="BF253">
        <v>7.11711711711712</v>
      </c>
      <c r="BG253">
        <v>10.3409750310801</v>
      </c>
      <c r="BH253">
        <v>20</v>
      </c>
      <c r="BI253">
        <v>4.41441441441441</v>
      </c>
      <c r="BJ253">
        <v>6.84921722837773</v>
      </c>
      <c r="BK253">
        <v>20</v>
      </c>
      <c r="BL253"/>
      <c r="BM253"/>
      <c r="BN253"/>
      <c r="BO253"/>
      <c r="BP253"/>
      <c r="BQ253"/>
      <c r="BR253"/>
      <c r="BS253"/>
      <c r="BT253"/>
      <c r="BU253"/>
      <c r="BV253"/>
      <c r="BW253"/>
      <c r="BX253"/>
    </row>
    <row r="254" s="1" customFormat="1" ht="15" customHeight="1" spans="1:76">
      <c r="A254">
        <v>84</v>
      </c>
      <c r="B254">
        <v>269</v>
      </c>
      <c r="C254" t="s">
        <v>722</v>
      </c>
      <c r="D254" t="s">
        <v>723</v>
      </c>
      <c r="E254">
        <v>2025</v>
      </c>
      <c r="F254" t="s">
        <v>724</v>
      </c>
      <c r="G254" t="s">
        <v>701</v>
      </c>
      <c r="H254" t="s">
        <v>80</v>
      </c>
      <c r="I254" t="s">
        <v>110</v>
      </c>
      <c r="J254" t="s">
        <v>96</v>
      </c>
      <c r="K254" t="s">
        <v>9</v>
      </c>
      <c r="L254" t="s">
        <v>126</v>
      </c>
      <c r="M254" t="s">
        <v>168</v>
      </c>
      <c r="N254" t="s">
        <v>268</v>
      </c>
      <c r="O254" t="s">
        <v>112</v>
      </c>
      <c r="P254" t="s">
        <v>149</v>
      </c>
      <c r="Q254" t="s">
        <v>210</v>
      </c>
      <c r="R254" t="s">
        <v>103</v>
      </c>
      <c r="S254" t="s">
        <v>104</v>
      </c>
      <c r="T254">
        <v>0.478</v>
      </c>
      <c r="U254"/>
      <c r="V254">
        <v>2.522</v>
      </c>
      <c r="W254"/>
      <c r="X254">
        <v>0.001</v>
      </c>
      <c r="Y254"/>
      <c r="Z254"/>
      <c r="AA254"/>
      <c r="AB254" t="s">
        <v>105</v>
      </c>
      <c r="AC254" t="s">
        <v>105</v>
      </c>
      <c r="AD254"/>
      <c r="AE254"/>
      <c r="AF254"/>
      <c r="AG254"/>
      <c r="AH254" t="s">
        <v>725</v>
      </c>
      <c r="AI254">
        <v>92</v>
      </c>
      <c r="AJ254"/>
      <c r="AK254"/>
      <c r="AL254">
        <v>120</v>
      </c>
      <c r="AM254">
        <v>4</v>
      </c>
      <c r="AN254" t="s">
        <v>173</v>
      </c>
      <c r="AO254" t="s">
        <v>270</v>
      </c>
      <c r="AP254" t="s">
        <v>694</v>
      </c>
      <c r="AQ254" t="s">
        <v>89</v>
      </c>
      <c r="AR254" t="s">
        <v>89</v>
      </c>
      <c r="AS254" t="s">
        <v>82</v>
      </c>
      <c r="AT254" t="s">
        <v>90</v>
      </c>
      <c r="AU254" t="s">
        <v>91</v>
      </c>
      <c r="AV254" t="s">
        <v>726</v>
      </c>
      <c r="AW254" t="s">
        <v>119</v>
      </c>
      <c r="AX254" t="s">
        <v>727</v>
      </c>
      <c r="AY254" t="s">
        <v>163</v>
      </c>
      <c r="AZ254">
        <v>21.04</v>
      </c>
      <c r="BA254">
        <v>3.51</v>
      </c>
      <c r="BB254">
        <v>4</v>
      </c>
      <c r="BC254">
        <v>27.03</v>
      </c>
      <c r="BD254">
        <v>3.35</v>
      </c>
      <c r="BE254">
        <v>4</v>
      </c>
      <c r="BF254">
        <v>18.4</v>
      </c>
      <c r="BG254">
        <v>5.99</v>
      </c>
      <c r="BH254">
        <v>4</v>
      </c>
      <c r="BI254">
        <v>13.77</v>
      </c>
      <c r="BJ254">
        <v>0.48</v>
      </c>
      <c r="BK254">
        <v>4</v>
      </c>
      <c r="BL254"/>
      <c r="BM254"/>
      <c r="BN254"/>
      <c r="BO254"/>
      <c r="BP254"/>
      <c r="BQ254"/>
      <c r="BR254"/>
      <c r="BS254"/>
      <c r="BT254"/>
      <c r="BU254"/>
      <c r="BV254"/>
      <c r="BW254"/>
      <c r="BX254"/>
    </row>
    <row r="255" s="1" customFormat="1" ht="15" customHeight="1" spans="1:76">
      <c r="A255">
        <v>84</v>
      </c>
      <c r="B255">
        <v>270</v>
      </c>
      <c r="C255" t="s">
        <v>722</v>
      </c>
      <c r="D255" t="s">
        <v>723</v>
      </c>
      <c r="E255">
        <v>2025</v>
      </c>
      <c r="F255" t="s">
        <v>724</v>
      </c>
      <c r="G255" t="s">
        <v>701</v>
      </c>
      <c r="H255" t="s">
        <v>80</v>
      </c>
      <c r="I255" t="s">
        <v>110</v>
      </c>
      <c r="J255" t="s">
        <v>96</v>
      </c>
      <c r="K255" t="s">
        <v>9</v>
      </c>
      <c r="L255" t="s">
        <v>126</v>
      </c>
      <c r="M255" t="s">
        <v>168</v>
      </c>
      <c r="N255" t="s">
        <v>268</v>
      </c>
      <c r="O255" t="s">
        <v>112</v>
      </c>
      <c r="P255" t="s">
        <v>149</v>
      </c>
      <c r="Q255" t="s">
        <v>210</v>
      </c>
      <c r="R255" t="s">
        <v>103</v>
      </c>
      <c r="S255" t="s">
        <v>104</v>
      </c>
      <c r="T255">
        <v>0.478</v>
      </c>
      <c r="U255"/>
      <c r="V255">
        <v>7.522</v>
      </c>
      <c r="W255"/>
      <c r="X255">
        <v>0.001</v>
      </c>
      <c r="Y255"/>
      <c r="Z255"/>
      <c r="AA255"/>
      <c r="AB255" t="s">
        <v>105</v>
      </c>
      <c r="AC255" t="s">
        <v>105</v>
      </c>
      <c r="AD255"/>
      <c r="AE255"/>
      <c r="AF255"/>
      <c r="AG255"/>
      <c r="AH255" t="s">
        <v>725</v>
      </c>
      <c r="AI255">
        <v>92</v>
      </c>
      <c r="AJ255"/>
      <c r="AK255"/>
      <c r="AL255">
        <v>120</v>
      </c>
      <c r="AM255">
        <v>4</v>
      </c>
      <c r="AN255" t="s">
        <v>173</v>
      </c>
      <c r="AO255" t="s">
        <v>270</v>
      </c>
      <c r="AP255" t="s">
        <v>694</v>
      </c>
      <c r="AQ255" t="s">
        <v>89</v>
      </c>
      <c r="AR255" t="s">
        <v>89</v>
      </c>
      <c r="AS255" t="s">
        <v>82</v>
      </c>
      <c r="AT255" t="s">
        <v>90</v>
      </c>
      <c r="AU255" t="s">
        <v>91</v>
      </c>
      <c r="AV255" t="s">
        <v>728</v>
      </c>
      <c r="AW255" t="s">
        <v>119</v>
      </c>
      <c r="AX255" t="s">
        <v>727</v>
      </c>
      <c r="AY255" t="s">
        <v>163</v>
      </c>
      <c r="AZ255">
        <v>21.04</v>
      </c>
      <c r="BA255">
        <v>3.51</v>
      </c>
      <c r="BB255">
        <v>4</v>
      </c>
      <c r="BC255">
        <v>49.54</v>
      </c>
      <c r="BD255">
        <v>3.27</v>
      </c>
      <c r="BE255">
        <v>4</v>
      </c>
      <c r="BF255">
        <v>18.4</v>
      </c>
      <c r="BG255">
        <v>5.99</v>
      </c>
      <c r="BH255">
        <v>4</v>
      </c>
      <c r="BI255">
        <v>15.53</v>
      </c>
      <c r="BJ255">
        <v>1.12</v>
      </c>
      <c r="BK255">
        <v>4</v>
      </c>
      <c r="BL255"/>
      <c r="BM255"/>
      <c r="BN255"/>
      <c r="BO255"/>
      <c r="BP255"/>
      <c r="BQ255"/>
      <c r="BR255"/>
      <c r="BS255"/>
      <c r="BT255"/>
      <c r="BU255"/>
      <c r="BV255"/>
      <c r="BW255"/>
      <c r="BX255"/>
    </row>
    <row r="256" s="1" customFormat="1" ht="15" customHeight="1" spans="1:76">
      <c r="A256">
        <v>84</v>
      </c>
      <c r="B256">
        <v>271</v>
      </c>
      <c r="C256" t="s">
        <v>722</v>
      </c>
      <c r="D256" t="s">
        <v>723</v>
      </c>
      <c r="E256">
        <v>2025</v>
      </c>
      <c r="F256" t="s">
        <v>724</v>
      </c>
      <c r="G256" t="s">
        <v>701</v>
      </c>
      <c r="H256" t="s">
        <v>80</v>
      </c>
      <c r="I256" t="s">
        <v>110</v>
      </c>
      <c r="J256" t="s">
        <v>96</v>
      </c>
      <c r="K256" t="s">
        <v>9</v>
      </c>
      <c r="L256" t="s">
        <v>97</v>
      </c>
      <c r="M256" t="s">
        <v>98</v>
      </c>
      <c r="N256" t="s">
        <v>181</v>
      </c>
      <c r="O256" t="s">
        <v>100</v>
      </c>
      <c r="P256" t="s">
        <v>113</v>
      </c>
      <c r="Q256" t="s">
        <v>113</v>
      </c>
      <c r="R256" t="s">
        <v>113</v>
      </c>
      <c r="S256" t="s">
        <v>113</v>
      </c>
      <c r="T256">
        <v>0.478</v>
      </c>
      <c r="U256"/>
      <c r="V256">
        <v>2.522</v>
      </c>
      <c r="W256"/>
      <c r="X256">
        <v>0.001</v>
      </c>
      <c r="Y256"/>
      <c r="Z256"/>
      <c r="AA256"/>
      <c r="AB256" t="s">
        <v>105</v>
      </c>
      <c r="AC256" t="s">
        <v>105</v>
      </c>
      <c r="AD256"/>
      <c r="AE256"/>
      <c r="AF256"/>
      <c r="AG256"/>
      <c r="AH256" t="s">
        <v>725</v>
      </c>
      <c r="AI256">
        <v>92</v>
      </c>
      <c r="AJ256"/>
      <c r="AK256"/>
      <c r="AL256">
        <v>120</v>
      </c>
      <c r="AM256">
        <v>4</v>
      </c>
      <c r="AN256" t="s">
        <v>173</v>
      </c>
      <c r="AO256" t="s">
        <v>270</v>
      </c>
      <c r="AP256" t="s">
        <v>694</v>
      </c>
      <c r="AQ256" t="s">
        <v>89</v>
      </c>
      <c r="AR256" t="s">
        <v>89</v>
      </c>
      <c r="AS256" t="s">
        <v>82</v>
      </c>
      <c r="AT256" t="s">
        <v>90</v>
      </c>
      <c r="AU256" t="s">
        <v>91</v>
      </c>
      <c r="AV256" t="s">
        <v>726</v>
      </c>
      <c r="AW256" t="s">
        <v>119</v>
      </c>
      <c r="AX256" t="s">
        <v>727</v>
      </c>
      <c r="AY256" t="s">
        <v>163</v>
      </c>
      <c r="AZ256">
        <v>15.41</v>
      </c>
      <c r="BA256">
        <v>2.02</v>
      </c>
      <c r="BB256">
        <v>4</v>
      </c>
      <c r="BC256">
        <v>16.63</v>
      </c>
      <c r="BD256">
        <v>3.67</v>
      </c>
      <c r="BE256">
        <v>4</v>
      </c>
      <c r="BF256">
        <v>1.59</v>
      </c>
      <c r="BG256">
        <v>0.37</v>
      </c>
      <c r="BH256">
        <v>4</v>
      </c>
      <c r="BI256">
        <v>1.91</v>
      </c>
      <c r="BJ256">
        <v>0.21</v>
      </c>
      <c r="BK256">
        <v>4</v>
      </c>
      <c r="BL256"/>
      <c r="BM256"/>
      <c r="BN256"/>
      <c r="BO256"/>
      <c r="BP256"/>
      <c r="BQ256"/>
      <c r="BR256"/>
      <c r="BS256"/>
      <c r="BT256"/>
      <c r="BU256"/>
      <c r="BV256"/>
      <c r="BW256"/>
      <c r="BX256"/>
    </row>
    <row r="257" s="1" customFormat="1" ht="15" customHeight="1" spans="1:76">
      <c r="A257">
        <v>84</v>
      </c>
      <c r="B257">
        <v>272</v>
      </c>
      <c r="C257" t="s">
        <v>722</v>
      </c>
      <c r="D257" t="s">
        <v>723</v>
      </c>
      <c r="E257">
        <v>2025</v>
      </c>
      <c r="F257" t="s">
        <v>724</v>
      </c>
      <c r="G257" t="s">
        <v>701</v>
      </c>
      <c r="H257" t="s">
        <v>80</v>
      </c>
      <c r="I257" t="s">
        <v>110</v>
      </c>
      <c r="J257" t="s">
        <v>96</v>
      </c>
      <c r="K257" t="s">
        <v>9</v>
      </c>
      <c r="L257" t="s">
        <v>97</v>
      </c>
      <c r="M257" t="s">
        <v>98</v>
      </c>
      <c r="N257" t="s">
        <v>181</v>
      </c>
      <c r="O257" t="s">
        <v>100</v>
      </c>
      <c r="P257" t="s">
        <v>113</v>
      </c>
      <c r="Q257" t="s">
        <v>113</v>
      </c>
      <c r="R257" t="s">
        <v>113</v>
      </c>
      <c r="S257" t="s">
        <v>113</v>
      </c>
      <c r="T257">
        <v>0.478</v>
      </c>
      <c r="U257"/>
      <c r="V257">
        <v>7.522</v>
      </c>
      <c r="W257"/>
      <c r="X257">
        <v>0.001</v>
      </c>
      <c r="Y257"/>
      <c r="Z257"/>
      <c r="AA257"/>
      <c r="AB257" t="s">
        <v>105</v>
      </c>
      <c r="AC257" t="s">
        <v>105</v>
      </c>
      <c r="AD257"/>
      <c r="AE257"/>
      <c r="AF257"/>
      <c r="AG257"/>
      <c r="AH257" t="s">
        <v>725</v>
      </c>
      <c r="AI257">
        <v>92</v>
      </c>
      <c r="AJ257"/>
      <c r="AK257"/>
      <c r="AL257">
        <v>120</v>
      </c>
      <c r="AM257">
        <v>4</v>
      </c>
      <c r="AN257" t="s">
        <v>173</v>
      </c>
      <c r="AO257" t="s">
        <v>270</v>
      </c>
      <c r="AP257" t="s">
        <v>694</v>
      </c>
      <c r="AQ257" t="s">
        <v>89</v>
      </c>
      <c r="AR257" t="s">
        <v>89</v>
      </c>
      <c r="AS257" t="s">
        <v>82</v>
      </c>
      <c r="AT257" t="s">
        <v>90</v>
      </c>
      <c r="AU257" t="s">
        <v>91</v>
      </c>
      <c r="AV257" t="s">
        <v>728</v>
      </c>
      <c r="AW257" t="s">
        <v>119</v>
      </c>
      <c r="AX257" t="s">
        <v>727</v>
      </c>
      <c r="AY257" t="s">
        <v>163</v>
      </c>
      <c r="AZ257">
        <v>15.41</v>
      </c>
      <c r="BA257">
        <v>2.02</v>
      </c>
      <c r="BB257">
        <v>4</v>
      </c>
      <c r="BC257">
        <v>18.23</v>
      </c>
      <c r="BD257">
        <v>1.38</v>
      </c>
      <c r="BE257">
        <v>4</v>
      </c>
      <c r="BF257">
        <v>1.59</v>
      </c>
      <c r="BG257">
        <v>0.37</v>
      </c>
      <c r="BH257">
        <v>4</v>
      </c>
      <c r="BI257">
        <v>1.97</v>
      </c>
      <c r="BJ257">
        <v>0.32</v>
      </c>
      <c r="BK257">
        <v>4</v>
      </c>
      <c r="BL257"/>
      <c r="BM257"/>
      <c r="BN257"/>
      <c r="BO257"/>
      <c r="BP257"/>
      <c r="BQ257"/>
      <c r="BR257"/>
      <c r="BS257"/>
      <c r="BT257"/>
      <c r="BU257"/>
      <c r="BV257"/>
      <c r="BW257"/>
      <c r="BX257"/>
    </row>
    <row r="258" s="1" customFormat="1" ht="15" customHeight="1" spans="1:76">
      <c r="A258">
        <v>85</v>
      </c>
      <c r="B258">
        <v>273</v>
      </c>
      <c r="C258" t="s">
        <v>729</v>
      </c>
      <c r="D258" t="s">
        <v>730</v>
      </c>
      <c r="E258">
        <v>2026</v>
      </c>
      <c r="F258" t="s">
        <v>731</v>
      </c>
      <c r="G258" t="s">
        <v>732</v>
      </c>
      <c r="H258" t="s">
        <v>198</v>
      </c>
      <c r="I258" t="s">
        <v>110</v>
      </c>
      <c r="J258" t="s">
        <v>96</v>
      </c>
      <c r="K258" t="s">
        <v>9</v>
      </c>
      <c r="L258" t="s">
        <v>126</v>
      </c>
      <c r="M258" t="s">
        <v>168</v>
      </c>
      <c r="N258" t="s">
        <v>268</v>
      </c>
      <c r="O258" t="s">
        <v>112</v>
      </c>
      <c r="P258" t="s">
        <v>149</v>
      </c>
      <c r="Q258" t="s">
        <v>210</v>
      </c>
      <c r="R258" t="s">
        <v>103</v>
      </c>
      <c r="S258" t="s">
        <v>104</v>
      </c>
      <c r="T258"/>
      <c r="U258"/>
      <c r="V258"/>
      <c r="W258"/>
      <c r="X258"/>
      <c r="Y258"/>
      <c r="Z258">
        <v>25</v>
      </c>
      <c r="AA258"/>
      <c r="AB258" t="s">
        <v>105</v>
      </c>
      <c r="AC258" t="s">
        <v>105</v>
      </c>
      <c r="AD258"/>
      <c r="AE258"/>
      <c r="AF258"/>
      <c r="AG258"/>
      <c r="AH258" t="s">
        <v>154</v>
      </c>
      <c r="AI258">
        <v>30</v>
      </c>
      <c r="AJ258">
        <v>4.5</v>
      </c>
      <c r="AK258" t="s">
        <v>86</v>
      </c>
      <c r="AL258">
        <v>24</v>
      </c>
      <c r="AM258">
        <v>4</v>
      </c>
      <c r="AN258"/>
      <c r="AO258"/>
      <c r="AP258"/>
      <c r="AQ258" t="s">
        <v>89</v>
      </c>
      <c r="AR258" t="s">
        <v>135</v>
      </c>
      <c r="AS258" t="s">
        <v>82</v>
      </c>
      <c r="AT258" t="s">
        <v>90</v>
      </c>
      <c r="AU258" t="s">
        <v>230</v>
      </c>
      <c r="AV258" t="s">
        <v>733</v>
      </c>
      <c r="AW258" t="s">
        <v>230</v>
      </c>
      <c r="AX258" t="s">
        <v>734</v>
      </c>
      <c r="AY258" t="s">
        <v>647</v>
      </c>
      <c r="AZ258">
        <v>13.65</v>
      </c>
      <c r="BA258">
        <v>1.69</v>
      </c>
      <c r="BB258">
        <v>4</v>
      </c>
      <c r="BC258">
        <v>10.65</v>
      </c>
      <c r="BD258">
        <v>2.42</v>
      </c>
      <c r="BE258">
        <v>4</v>
      </c>
      <c r="BF258">
        <v>13.94</v>
      </c>
      <c r="BG258">
        <v>2.71</v>
      </c>
      <c r="BH258">
        <v>4</v>
      </c>
      <c r="BI258">
        <v>11.86</v>
      </c>
      <c r="BJ258">
        <v>2.37</v>
      </c>
      <c r="BK258">
        <v>4</v>
      </c>
      <c r="BL258"/>
      <c r="BM258"/>
      <c r="BN258"/>
      <c r="BO258"/>
      <c r="BP258"/>
      <c r="BQ258"/>
      <c r="BR258"/>
      <c r="BS258"/>
      <c r="BT258"/>
      <c r="BU258"/>
      <c r="BV258"/>
      <c r="BW258"/>
      <c r="BX258"/>
    </row>
    <row r="259" s="1" customFormat="1" ht="15" customHeight="1" spans="1:76">
      <c r="A259">
        <v>85</v>
      </c>
      <c r="B259">
        <v>274</v>
      </c>
      <c r="C259" t="s">
        <v>729</v>
      </c>
      <c r="D259" t="s">
        <v>730</v>
      </c>
      <c r="E259">
        <v>2026</v>
      </c>
      <c r="F259" t="s">
        <v>731</v>
      </c>
      <c r="G259" t="s">
        <v>732</v>
      </c>
      <c r="H259" t="s">
        <v>198</v>
      </c>
      <c r="I259" t="s">
        <v>110</v>
      </c>
      <c r="J259" t="s">
        <v>96</v>
      </c>
      <c r="K259" t="s">
        <v>9</v>
      </c>
      <c r="L259" t="s">
        <v>126</v>
      </c>
      <c r="M259" t="s">
        <v>168</v>
      </c>
      <c r="N259" t="s">
        <v>268</v>
      </c>
      <c r="O259" t="s">
        <v>112</v>
      </c>
      <c r="P259" t="s">
        <v>149</v>
      </c>
      <c r="Q259" t="s">
        <v>210</v>
      </c>
      <c r="R259" t="s">
        <v>103</v>
      </c>
      <c r="S259" t="s">
        <v>104</v>
      </c>
      <c r="T259"/>
      <c r="U259"/>
      <c r="V259"/>
      <c r="W259"/>
      <c r="X259"/>
      <c r="Y259"/>
      <c r="Z259">
        <v>25</v>
      </c>
      <c r="AA259"/>
      <c r="AB259" t="s">
        <v>105</v>
      </c>
      <c r="AC259" t="s">
        <v>105</v>
      </c>
      <c r="AD259"/>
      <c r="AE259"/>
      <c r="AF259"/>
      <c r="AG259"/>
      <c r="AH259" t="s">
        <v>154</v>
      </c>
      <c r="AI259">
        <v>30</v>
      </c>
      <c r="AJ259">
        <v>4.5</v>
      </c>
      <c r="AK259" t="s">
        <v>86</v>
      </c>
      <c r="AL259">
        <v>24</v>
      </c>
      <c r="AM259">
        <v>4</v>
      </c>
      <c r="AN259"/>
      <c r="AO259"/>
      <c r="AP259"/>
      <c r="AQ259" t="s">
        <v>89</v>
      </c>
      <c r="AR259" t="s">
        <v>135</v>
      </c>
      <c r="AS259" t="s">
        <v>82</v>
      </c>
      <c r="AT259" t="s">
        <v>90</v>
      </c>
      <c r="AU259" t="s">
        <v>230</v>
      </c>
      <c r="AV259" t="s">
        <v>733</v>
      </c>
      <c r="AW259" t="s">
        <v>230</v>
      </c>
      <c r="AX259" t="s">
        <v>735</v>
      </c>
      <c r="AY259" t="s">
        <v>647</v>
      </c>
      <c r="AZ259">
        <v>13.65</v>
      </c>
      <c r="BA259">
        <v>1.69</v>
      </c>
      <c r="BB259">
        <v>4</v>
      </c>
      <c r="BC259">
        <v>10.65</v>
      </c>
      <c r="BD259">
        <v>2.42</v>
      </c>
      <c r="BE259">
        <v>4</v>
      </c>
      <c r="BF259">
        <v>13.07</v>
      </c>
      <c r="BG259">
        <v>2.27</v>
      </c>
      <c r="BH259">
        <v>4</v>
      </c>
      <c r="BI259">
        <v>12.54</v>
      </c>
      <c r="BJ259">
        <v>2.85</v>
      </c>
      <c r="BK259">
        <v>4</v>
      </c>
      <c r="BL259"/>
      <c r="BM259"/>
      <c r="BN259"/>
      <c r="BO259"/>
      <c r="BP259"/>
      <c r="BQ259"/>
      <c r="BR259"/>
      <c r="BS259"/>
      <c r="BT259"/>
      <c r="BU259"/>
      <c r="BV259"/>
      <c r="BW259"/>
      <c r="BX259"/>
    </row>
    <row r="260" s="1" customFormat="1" ht="15" customHeight="1" spans="1:76">
      <c r="A260">
        <v>86</v>
      </c>
      <c r="B260">
        <v>275</v>
      </c>
      <c r="C260" t="s">
        <v>736</v>
      </c>
      <c r="D260" t="s">
        <v>737</v>
      </c>
      <c r="E260">
        <v>2026</v>
      </c>
      <c r="F260" t="s">
        <v>738</v>
      </c>
      <c r="G260" t="s">
        <v>739</v>
      </c>
      <c r="H260" t="s">
        <v>80</v>
      </c>
      <c r="I260" t="s">
        <v>110</v>
      </c>
      <c r="J260" t="s">
        <v>96</v>
      </c>
      <c r="K260" t="s">
        <v>9</v>
      </c>
      <c r="L260" t="s">
        <v>97</v>
      </c>
      <c r="M260" t="s">
        <v>98</v>
      </c>
      <c r="N260" t="s">
        <v>99</v>
      </c>
      <c r="O260" t="s">
        <v>112</v>
      </c>
      <c r="P260" t="s">
        <v>101</v>
      </c>
      <c r="Q260" t="s">
        <v>102</v>
      </c>
      <c r="R260" t="s">
        <v>103</v>
      </c>
      <c r="S260" t="s">
        <v>104</v>
      </c>
      <c r="T260">
        <v>1.5</v>
      </c>
      <c r="U260">
        <v>0.127</v>
      </c>
      <c r="V260">
        <v>1.5</v>
      </c>
      <c r="W260"/>
      <c r="X260">
        <v>0.1</v>
      </c>
      <c r="Y260">
        <v>0.035</v>
      </c>
      <c r="Z260">
        <v>30.7</v>
      </c>
      <c r="AA260"/>
      <c r="AB260" t="s">
        <v>105</v>
      </c>
      <c r="AC260" t="s">
        <v>105</v>
      </c>
      <c r="AD260"/>
      <c r="AE260"/>
      <c r="AF260">
        <v>29.433333</v>
      </c>
      <c r="AG260">
        <v>116.05</v>
      </c>
      <c r="AH260" t="s">
        <v>740</v>
      </c>
      <c r="AI260">
        <v>63</v>
      </c>
      <c r="AJ260">
        <v>120</v>
      </c>
      <c r="AK260" t="s">
        <v>86</v>
      </c>
      <c r="AL260">
        <v>30</v>
      </c>
      <c r="AM260">
        <v>3</v>
      </c>
      <c r="AN260" t="s">
        <v>131</v>
      </c>
      <c r="AO260" t="s">
        <v>262</v>
      </c>
      <c r="AP260" t="s">
        <v>710</v>
      </c>
      <c r="AQ260" t="s">
        <v>89</v>
      </c>
      <c r="AR260" t="s">
        <v>89</v>
      </c>
      <c r="AS260" t="s">
        <v>82</v>
      </c>
      <c r="AT260" t="s">
        <v>90</v>
      </c>
      <c r="AU260" t="s">
        <v>91</v>
      </c>
      <c r="AV260" t="s">
        <v>741</v>
      </c>
      <c r="AW260" t="s">
        <v>119</v>
      </c>
      <c r="AX260" t="s">
        <v>742</v>
      </c>
      <c r="AY260" t="s">
        <v>163</v>
      </c>
      <c r="AZ260">
        <v>1.07262569832402</v>
      </c>
      <c r="BA260">
        <v>0.890216057521434</v>
      </c>
      <c r="BB260">
        <v>3</v>
      </c>
      <c r="BC260" s="2">
        <v>0</v>
      </c>
      <c r="BD260">
        <v>0.0001</v>
      </c>
      <c r="BE260">
        <v>3</v>
      </c>
      <c r="BF260">
        <v>0.0001</v>
      </c>
      <c r="BG260">
        <v>0.0001</v>
      </c>
      <c r="BH260">
        <v>3</v>
      </c>
      <c r="BI260">
        <v>0.0245810055865922</v>
      </c>
      <c r="BJ260">
        <v>0.0464460551750313</v>
      </c>
      <c r="BK260">
        <v>3</v>
      </c>
      <c r="BL260"/>
      <c r="BM260"/>
      <c r="BN260"/>
      <c r="BO260"/>
      <c r="BP260"/>
      <c r="BQ260"/>
      <c r="BR260"/>
      <c r="BS260"/>
      <c r="BT260"/>
      <c r="BU260"/>
      <c r="BV260"/>
      <c r="BW260"/>
      <c r="BX260"/>
    </row>
    <row r="261" s="1" customFormat="1" ht="15" customHeight="1" spans="1:76">
      <c r="A261">
        <v>86</v>
      </c>
      <c r="B261">
        <v>276</v>
      </c>
      <c r="C261" t="s">
        <v>736</v>
      </c>
      <c r="D261" t="s">
        <v>737</v>
      </c>
      <c r="E261">
        <v>2026</v>
      </c>
      <c r="F261" t="s">
        <v>738</v>
      </c>
      <c r="G261" t="s">
        <v>739</v>
      </c>
      <c r="H261" t="s">
        <v>80</v>
      </c>
      <c r="I261" t="s">
        <v>110</v>
      </c>
      <c r="J261" t="s">
        <v>96</v>
      </c>
      <c r="K261" t="s">
        <v>9</v>
      </c>
      <c r="L261" t="s">
        <v>97</v>
      </c>
      <c r="M261" t="s">
        <v>98</v>
      </c>
      <c r="N261" t="s">
        <v>99</v>
      </c>
      <c r="O261" t="s">
        <v>112</v>
      </c>
      <c r="P261" t="s">
        <v>101</v>
      </c>
      <c r="Q261" t="s">
        <v>102</v>
      </c>
      <c r="R261" t="s">
        <v>103</v>
      </c>
      <c r="S261" t="s">
        <v>104</v>
      </c>
      <c r="T261">
        <v>1.5</v>
      </c>
      <c r="U261">
        <v>0.127</v>
      </c>
      <c r="V261">
        <v>1.5</v>
      </c>
      <c r="W261"/>
      <c r="X261">
        <v>0.1</v>
      </c>
      <c r="Y261">
        <v>0.035</v>
      </c>
      <c r="Z261">
        <v>30.7</v>
      </c>
      <c r="AA261"/>
      <c r="AB261" t="s">
        <v>105</v>
      </c>
      <c r="AC261" t="s">
        <v>105</v>
      </c>
      <c r="AD261"/>
      <c r="AE261"/>
      <c r="AF261">
        <v>29.433333</v>
      </c>
      <c r="AG261">
        <v>116.05</v>
      </c>
      <c r="AH261" t="s">
        <v>740</v>
      </c>
      <c r="AI261">
        <v>63</v>
      </c>
      <c r="AJ261">
        <v>120</v>
      </c>
      <c r="AK261" t="s">
        <v>86</v>
      </c>
      <c r="AL261">
        <v>30</v>
      </c>
      <c r="AM261">
        <v>3</v>
      </c>
      <c r="AN261" t="s">
        <v>131</v>
      </c>
      <c r="AO261" t="s">
        <v>262</v>
      </c>
      <c r="AP261" t="s">
        <v>710</v>
      </c>
      <c r="AQ261" t="s">
        <v>89</v>
      </c>
      <c r="AR261" t="s">
        <v>391</v>
      </c>
      <c r="AS261" t="s">
        <v>82</v>
      </c>
      <c r="AT261" t="s">
        <v>90</v>
      </c>
      <c r="AU261" t="s">
        <v>91</v>
      </c>
      <c r="AV261" t="s">
        <v>741</v>
      </c>
      <c r="AW261" t="s">
        <v>119</v>
      </c>
      <c r="AX261" t="s">
        <v>742</v>
      </c>
      <c r="AY261" t="s">
        <v>163</v>
      </c>
      <c r="AZ261">
        <v>0.905073649754501</v>
      </c>
      <c r="BA261">
        <v>0.703025532368382</v>
      </c>
      <c r="BB261">
        <v>3</v>
      </c>
      <c r="BC261" s="2">
        <v>0</v>
      </c>
      <c r="BD261">
        <v>0.0001</v>
      </c>
      <c r="BE261">
        <v>3</v>
      </c>
      <c r="BF261">
        <v>0.0001</v>
      </c>
      <c r="BG261">
        <v>0.0001</v>
      </c>
      <c r="BH261">
        <v>3</v>
      </c>
      <c r="BI261">
        <v>0.0245499181669394</v>
      </c>
      <c r="BJ261">
        <v>0.036852144841891</v>
      </c>
      <c r="BK261">
        <v>3</v>
      </c>
      <c r="BL261"/>
      <c r="BM261"/>
      <c r="BN261"/>
      <c r="BO261"/>
      <c r="BP261"/>
      <c r="BQ261"/>
      <c r="BR261"/>
      <c r="BS261"/>
      <c r="BT261"/>
      <c r="BU261"/>
      <c r="BV261"/>
      <c r="BW261"/>
      <c r="BX261"/>
    </row>
    <row r="262" s="1" customFormat="1" ht="15" customHeight="1" spans="1:76">
      <c r="A262">
        <v>87</v>
      </c>
      <c r="B262">
        <v>277</v>
      </c>
      <c r="C262" t="s">
        <v>743</v>
      </c>
      <c r="D262" t="s">
        <v>744</v>
      </c>
      <c r="E262">
        <v>2024</v>
      </c>
      <c r="F262" t="s">
        <v>745</v>
      </c>
      <c r="G262" t="s">
        <v>421</v>
      </c>
      <c r="H262" t="s">
        <v>198</v>
      </c>
      <c r="I262" t="s">
        <v>110</v>
      </c>
      <c r="J262" t="s">
        <v>96</v>
      </c>
      <c r="K262" t="s">
        <v>9</v>
      </c>
      <c r="L262" t="s">
        <v>146</v>
      </c>
      <c r="M262" t="s">
        <v>147</v>
      </c>
      <c r="N262" t="s">
        <v>148</v>
      </c>
      <c r="O262" t="s">
        <v>112</v>
      </c>
      <c r="P262" t="s">
        <v>149</v>
      </c>
      <c r="Q262" t="s">
        <v>102</v>
      </c>
      <c r="R262" t="s">
        <v>103</v>
      </c>
      <c r="S262" t="s">
        <v>104</v>
      </c>
      <c r="T262">
        <v>0.8</v>
      </c>
      <c r="U262"/>
      <c r="V262">
        <v>1</v>
      </c>
      <c r="W262"/>
      <c r="X262">
        <v>0.03</v>
      </c>
      <c r="Y262"/>
      <c r="Z262"/>
      <c r="AA262"/>
      <c r="AB262" t="s">
        <v>105</v>
      </c>
      <c r="AC262" t="s">
        <v>105</v>
      </c>
      <c r="AD262"/>
      <c r="AE262"/>
      <c r="AF262"/>
      <c r="AG262"/>
      <c r="AH262" t="s">
        <v>746</v>
      </c>
      <c r="AI262">
        <v>35</v>
      </c>
      <c r="AJ262"/>
      <c r="AK262"/>
      <c r="AL262">
        <v>54</v>
      </c>
      <c r="AM262">
        <v>9</v>
      </c>
      <c r="AN262" t="s">
        <v>439</v>
      </c>
      <c r="AO262" t="s">
        <v>219</v>
      </c>
      <c r="AP262" t="s">
        <v>174</v>
      </c>
      <c r="AQ262" t="s">
        <v>89</v>
      </c>
      <c r="AR262" t="s">
        <v>89</v>
      </c>
      <c r="AS262" t="s">
        <v>82</v>
      </c>
      <c r="AT262" t="s">
        <v>90</v>
      </c>
      <c r="AU262" t="s">
        <v>91</v>
      </c>
      <c r="AV262" t="s">
        <v>747</v>
      </c>
      <c r="AW262" t="s">
        <v>119</v>
      </c>
      <c r="AX262" t="s">
        <v>748</v>
      </c>
      <c r="AY262" t="s">
        <v>163</v>
      </c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</row>
    <row r="263" s="1" customFormat="1" ht="15" customHeight="1" spans="1:76">
      <c r="A263">
        <v>87</v>
      </c>
      <c r="B263">
        <v>278</v>
      </c>
      <c r="C263" t="s">
        <v>743</v>
      </c>
      <c r="D263" t="s">
        <v>744</v>
      </c>
      <c r="E263">
        <v>2024</v>
      </c>
      <c r="F263" t="s">
        <v>745</v>
      </c>
      <c r="G263" t="s">
        <v>421</v>
      </c>
      <c r="H263" t="s">
        <v>198</v>
      </c>
      <c r="I263" t="s">
        <v>110</v>
      </c>
      <c r="J263" t="s">
        <v>96</v>
      </c>
      <c r="K263" t="s">
        <v>9</v>
      </c>
      <c r="L263" t="s">
        <v>146</v>
      </c>
      <c r="M263" t="s">
        <v>147</v>
      </c>
      <c r="N263" t="s">
        <v>148</v>
      </c>
      <c r="O263" t="s">
        <v>112</v>
      </c>
      <c r="P263" t="s">
        <v>149</v>
      </c>
      <c r="Q263" t="s">
        <v>102</v>
      </c>
      <c r="R263" t="s">
        <v>103</v>
      </c>
      <c r="S263" t="s">
        <v>104</v>
      </c>
      <c r="T263">
        <v>0.8</v>
      </c>
      <c r="U263"/>
      <c r="V263">
        <v>1</v>
      </c>
      <c r="W263"/>
      <c r="X263">
        <v>0.03</v>
      </c>
      <c r="Y263"/>
      <c r="Z263"/>
      <c r="AA263"/>
      <c r="AB263" t="s">
        <v>105</v>
      </c>
      <c r="AC263" t="s">
        <v>105</v>
      </c>
      <c r="AD263"/>
      <c r="AE263"/>
      <c r="AF263"/>
      <c r="AG263"/>
      <c r="AH263" t="s">
        <v>746</v>
      </c>
      <c r="AI263">
        <v>35</v>
      </c>
      <c r="AJ263"/>
      <c r="AK263"/>
      <c r="AL263">
        <v>54</v>
      </c>
      <c r="AM263">
        <v>9</v>
      </c>
      <c r="AN263" t="s">
        <v>439</v>
      </c>
      <c r="AO263" t="s">
        <v>219</v>
      </c>
      <c r="AP263" t="s">
        <v>174</v>
      </c>
      <c r="AQ263" t="s">
        <v>89</v>
      </c>
      <c r="AR263" t="s">
        <v>391</v>
      </c>
      <c r="AS263" t="s">
        <v>82</v>
      </c>
      <c r="AT263" t="s">
        <v>90</v>
      </c>
      <c r="AU263" t="s">
        <v>91</v>
      </c>
      <c r="AV263" t="s">
        <v>747</v>
      </c>
      <c r="AW263" t="s">
        <v>119</v>
      </c>
      <c r="AX263" t="s">
        <v>748</v>
      </c>
      <c r="AY263" t="s">
        <v>163</v>
      </c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</row>
    <row r="264" s="1" customFormat="1" ht="15" customHeight="1" spans="1:76">
      <c r="A264">
        <v>87</v>
      </c>
      <c r="B264">
        <v>279</v>
      </c>
      <c r="C264" t="s">
        <v>743</v>
      </c>
      <c r="D264" t="s">
        <v>744</v>
      </c>
      <c r="E264">
        <v>2024</v>
      </c>
      <c r="F264" t="s">
        <v>745</v>
      </c>
      <c r="G264" t="s">
        <v>421</v>
      </c>
      <c r="H264" t="s">
        <v>198</v>
      </c>
      <c r="I264" t="s">
        <v>110</v>
      </c>
      <c r="J264" t="s">
        <v>96</v>
      </c>
      <c r="K264" t="s">
        <v>9</v>
      </c>
      <c r="L264" t="s">
        <v>146</v>
      </c>
      <c r="M264" t="s">
        <v>147</v>
      </c>
      <c r="N264" t="s">
        <v>148</v>
      </c>
      <c r="O264" t="s">
        <v>112</v>
      </c>
      <c r="P264" t="s">
        <v>149</v>
      </c>
      <c r="Q264" t="s">
        <v>102</v>
      </c>
      <c r="R264" t="s">
        <v>103</v>
      </c>
      <c r="S264" t="s">
        <v>104</v>
      </c>
      <c r="T264">
        <v>0.8</v>
      </c>
      <c r="U264"/>
      <c r="V264">
        <v>1</v>
      </c>
      <c r="W264"/>
      <c r="X264">
        <v>0.03</v>
      </c>
      <c r="Y264"/>
      <c r="Z264"/>
      <c r="AA264"/>
      <c r="AB264" t="s">
        <v>105</v>
      </c>
      <c r="AC264" t="s">
        <v>105</v>
      </c>
      <c r="AD264"/>
      <c r="AE264"/>
      <c r="AF264"/>
      <c r="AG264"/>
      <c r="AH264" t="s">
        <v>746</v>
      </c>
      <c r="AI264">
        <v>35</v>
      </c>
      <c r="AJ264"/>
      <c r="AK264"/>
      <c r="AL264">
        <v>54</v>
      </c>
      <c r="AM264">
        <v>9</v>
      </c>
      <c r="AN264" t="s">
        <v>439</v>
      </c>
      <c r="AO264" t="s">
        <v>219</v>
      </c>
      <c r="AP264" t="s">
        <v>174</v>
      </c>
      <c r="AQ264" t="s">
        <v>185</v>
      </c>
      <c r="AR264" t="s">
        <v>186</v>
      </c>
      <c r="AS264" t="s">
        <v>82</v>
      </c>
      <c r="AT264" t="s">
        <v>705</v>
      </c>
      <c r="AU264" t="s">
        <v>91</v>
      </c>
      <c r="AV264" t="s">
        <v>747</v>
      </c>
      <c r="AW264" t="s">
        <v>119</v>
      </c>
      <c r="AX264" t="s">
        <v>748</v>
      </c>
      <c r="AY264" t="s">
        <v>163</v>
      </c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</row>
    <row r="265" s="1" customFormat="1" ht="15" customHeight="1" spans="1:76">
      <c r="A265">
        <v>87</v>
      </c>
      <c r="B265">
        <v>280</v>
      </c>
      <c r="C265" t="s">
        <v>743</v>
      </c>
      <c r="D265" t="s">
        <v>744</v>
      </c>
      <c r="E265">
        <v>2024</v>
      </c>
      <c r="F265" t="s">
        <v>745</v>
      </c>
      <c r="G265" t="s">
        <v>421</v>
      </c>
      <c r="H265" t="s">
        <v>198</v>
      </c>
      <c r="I265" t="s">
        <v>110</v>
      </c>
      <c r="J265" t="s">
        <v>96</v>
      </c>
      <c r="K265" t="s">
        <v>9</v>
      </c>
      <c r="L265" t="s">
        <v>146</v>
      </c>
      <c r="M265" t="s">
        <v>147</v>
      </c>
      <c r="N265" t="s">
        <v>148</v>
      </c>
      <c r="O265" t="s">
        <v>112</v>
      </c>
      <c r="P265" t="s">
        <v>149</v>
      </c>
      <c r="Q265" t="s">
        <v>102</v>
      </c>
      <c r="R265" t="s">
        <v>103</v>
      </c>
      <c r="S265" t="s">
        <v>104</v>
      </c>
      <c r="T265">
        <v>0.8</v>
      </c>
      <c r="U265"/>
      <c r="V265">
        <v>1</v>
      </c>
      <c r="W265"/>
      <c r="X265">
        <v>0.03</v>
      </c>
      <c r="Y265"/>
      <c r="Z265"/>
      <c r="AA265"/>
      <c r="AB265" t="s">
        <v>105</v>
      </c>
      <c r="AC265" t="s">
        <v>105</v>
      </c>
      <c r="AD265"/>
      <c r="AE265"/>
      <c r="AF265"/>
      <c r="AG265"/>
      <c r="AH265" t="s">
        <v>746</v>
      </c>
      <c r="AI265">
        <v>35</v>
      </c>
      <c r="AJ265"/>
      <c r="AK265"/>
      <c r="AL265">
        <v>54</v>
      </c>
      <c r="AM265">
        <v>9</v>
      </c>
      <c r="AN265" t="s">
        <v>439</v>
      </c>
      <c r="AO265" t="s">
        <v>219</v>
      </c>
      <c r="AP265" t="s">
        <v>174</v>
      </c>
      <c r="AQ265" t="s">
        <v>89</v>
      </c>
      <c r="AR265" t="s">
        <v>89</v>
      </c>
      <c r="AS265" t="s">
        <v>82</v>
      </c>
      <c r="AT265" t="s">
        <v>90</v>
      </c>
      <c r="AU265" t="s">
        <v>91</v>
      </c>
      <c r="AV265" t="s">
        <v>747</v>
      </c>
      <c r="AW265" t="s">
        <v>119</v>
      </c>
      <c r="AX265" t="s">
        <v>749</v>
      </c>
      <c r="AY265" t="s">
        <v>163</v>
      </c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</row>
    <row r="266" s="1" customFormat="1" ht="15" customHeight="1" spans="1:76">
      <c r="A266">
        <v>87</v>
      </c>
      <c r="B266">
        <v>281</v>
      </c>
      <c r="C266" t="s">
        <v>743</v>
      </c>
      <c r="D266" t="s">
        <v>744</v>
      </c>
      <c r="E266">
        <v>2024</v>
      </c>
      <c r="F266" t="s">
        <v>745</v>
      </c>
      <c r="G266" t="s">
        <v>421</v>
      </c>
      <c r="H266" t="s">
        <v>198</v>
      </c>
      <c r="I266" t="s">
        <v>110</v>
      </c>
      <c r="J266" t="s">
        <v>96</v>
      </c>
      <c r="K266" t="s">
        <v>9</v>
      </c>
      <c r="L266" t="s">
        <v>146</v>
      </c>
      <c r="M266" t="s">
        <v>147</v>
      </c>
      <c r="N266" t="s">
        <v>148</v>
      </c>
      <c r="O266" t="s">
        <v>112</v>
      </c>
      <c r="P266" t="s">
        <v>149</v>
      </c>
      <c r="Q266" t="s">
        <v>102</v>
      </c>
      <c r="R266" t="s">
        <v>103</v>
      </c>
      <c r="S266" t="s">
        <v>104</v>
      </c>
      <c r="T266">
        <v>0.8</v>
      </c>
      <c r="U266"/>
      <c r="V266">
        <v>1</v>
      </c>
      <c r="W266"/>
      <c r="X266">
        <v>0.03</v>
      </c>
      <c r="Y266"/>
      <c r="Z266"/>
      <c r="AA266"/>
      <c r="AB266" t="s">
        <v>105</v>
      </c>
      <c r="AC266" t="s">
        <v>105</v>
      </c>
      <c r="AD266"/>
      <c r="AE266"/>
      <c r="AF266"/>
      <c r="AG266"/>
      <c r="AH266" t="s">
        <v>746</v>
      </c>
      <c r="AI266">
        <v>35</v>
      </c>
      <c r="AJ266"/>
      <c r="AK266"/>
      <c r="AL266">
        <v>54</v>
      </c>
      <c r="AM266">
        <v>9</v>
      </c>
      <c r="AN266" t="s">
        <v>439</v>
      </c>
      <c r="AO266" t="s">
        <v>219</v>
      </c>
      <c r="AP266" t="s">
        <v>174</v>
      </c>
      <c r="AQ266" t="s">
        <v>89</v>
      </c>
      <c r="AR266" t="s">
        <v>391</v>
      </c>
      <c r="AS266" t="s">
        <v>82</v>
      </c>
      <c r="AT266" t="s">
        <v>90</v>
      </c>
      <c r="AU266" t="s">
        <v>91</v>
      </c>
      <c r="AV266" t="s">
        <v>747</v>
      </c>
      <c r="AW266" t="s">
        <v>119</v>
      </c>
      <c r="AX266" t="s">
        <v>749</v>
      </c>
      <c r="AY266" t="s">
        <v>163</v>
      </c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</row>
    <row r="267" s="1" customFormat="1" ht="15" customHeight="1" spans="1:76">
      <c r="A267">
        <v>87</v>
      </c>
      <c r="B267">
        <v>282</v>
      </c>
      <c r="C267" t="s">
        <v>743</v>
      </c>
      <c r="D267" t="s">
        <v>744</v>
      </c>
      <c r="E267">
        <v>2024</v>
      </c>
      <c r="F267" t="s">
        <v>745</v>
      </c>
      <c r="G267" t="s">
        <v>421</v>
      </c>
      <c r="H267" t="s">
        <v>198</v>
      </c>
      <c r="I267" t="s">
        <v>110</v>
      </c>
      <c r="J267" t="s">
        <v>96</v>
      </c>
      <c r="K267" t="s">
        <v>9</v>
      </c>
      <c r="L267" t="s">
        <v>146</v>
      </c>
      <c r="M267" t="s">
        <v>147</v>
      </c>
      <c r="N267" t="s">
        <v>148</v>
      </c>
      <c r="O267" t="s">
        <v>112</v>
      </c>
      <c r="P267" t="s">
        <v>149</v>
      </c>
      <c r="Q267" t="s">
        <v>102</v>
      </c>
      <c r="R267" t="s">
        <v>103</v>
      </c>
      <c r="S267" t="s">
        <v>104</v>
      </c>
      <c r="T267">
        <v>0.8</v>
      </c>
      <c r="U267"/>
      <c r="V267">
        <v>1</v>
      </c>
      <c r="W267"/>
      <c r="X267">
        <v>0.03</v>
      </c>
      <c r="Y267"/>
      <c r="Z267"/>
      <c r="AA267"/>
      <c r="AB267" t="s">
        <v>105</v>
      </c>
      <c r="AC267" t="s">
        <v>105</v>
      </c>
      <c r="AD267"/>
      <c r="AE267"/>
      <c r="AF267"/>
      <c r="AG267"/>
      <c r="AH267" t="s">
        <v>746</v>
      </c>
      <c r="AI267">
        <v>35</v>
      </c>
      <c r="AJ267"/>
      <c r="AK267"/>
      <c r="AL267">
        <v>54</v>
      </c>
      <c r="AM267">
        <v>9</v>
      </c>
      <c r="AN267" t="s">
        <v>439</v>
      </c>
      <c r="AO267" t="s">
        <v>219</v>
      </c>
      <c r="AP267" t="s">
        <v>174</v>
      </c>
      <c r="AQ267" t="s">
        <v>185</v>
      </c>
      <c r="AR267" t="s">
        <v>186</v>
      </c>
      <c r="AS267" t="s">
        <v>82</v>
      </c>
      <c r="AT267" t="s">
        <v>705</v>
      </c>
      <c r="AU267" t="s">
        <v>91</v>
      </c>
      <c r="AV267" t="s">
        <v>747</v>
      </c>
      <c r="AW267" t="s">
        <v>119</v>
      </c>
      <c r="AX267" t="s">
        <v>749</v>
      </c>
      <c r="AY267" t="s">
        <v>163</v>
      </c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</row>
    <row r="268" s="1" customFormat="1" ht="15" customHeight="1" spans="1:76">
      <c r="A268">
        <v>88</v>
      </c>
      <c r="B268">
        <v>283</v>
      </c>
      <c r="C268" t="s">
        <v>750</v>
      </c>
      <c r="D268" t="s">
        <v>751</v>
      </c>
      <c r="E268">
        <v>2025</v>
      </c>
      <c r="F268" t="s">
        <v>752</v>
      </c>
      <c r="G268" t="s">
        <v>739</v>
      </c>
      <c r="H268" t="s">
        <v>198</v>
      </c>
      <c r="I268" t="s">
        <v>373</v>
      </c>
      <c r="J268" t="s">
        <v>96</v>
      </c>
      <c r="K268" t="s">
        <v>9</v>
      </c>
      <c r="L268" t="s">
        <v>97</v>
      </c>
      <c r="M268" t="s">
        <v>98</v>
      </c>
      <c r="N268" t="s">
        <v>99</v>
      </c>
      <c r="O268" t="s">
        <v>112</v>
      </c>
      <c r="P268" t="s">
        <v>101</v>
      </c>
      <c r="Q268" t="s">
        <v>102</v>
      </c>
      <c r="R268" t="s">
        <v>103</v>
      </c>
      <c r="S268" t="s">
        <v>104</v>
      </c>
      <c r="T268">
        <v>5</v>
      </c>
      <c r="U268"/>
      <c r="V268"/>
      <c r="W268"/>
      <c r="X268"/>
      <c r="Y268"/>
      <c r="Z268">
        <v>20</v>
      </c>
      <c r="AA268">
        <v>4</v>
      </c>
      <c r="AB268" t="s">
        <v>105</v>
      </c>
      <c r="AC268" t="s">
        <v>105</v>
      </c>
      <c r="AD268">
        <v>8.5</v>
      </c>
      <c r="AE268"/>
      <c r="AF268"/>
      <c r="AG268"/>
      <c r="AH268" t="s">
        <v>753</v>
      </c>
      <c r="AI268">
        <v>42</v>
      </c>
      <c r="AJ268">
        <v>22</v>
      </c>
      <c r="AK268" t="s">
        <v>86</v>
      </c>
      <c r="AL268">
        <v>36</v>
      </c>
      <c r="AM268">
        <v>4</v>
      </c>
      <c r="AN268"/>
      <c r="AO268"/>
      <c r="AP268"/>
      <c r="AQ268" t="s">
        <v>89</v>
      </c>
      <c r="AR268" t="s">
        <v>89</v>
      </c>
      <c r="AS268" t="s">
        <v>82</v>
      </c>
      <c r="AT268" t="s">
        <v>90</v>
      </c>
      <c r="AU268" t="s">
        <v>91</v>
      </c>
      <c r="AV268" t="s">
        <v>754</v>
      </c>
      <c r="AW268" t="s">
        <v>221</v>
      </c>
      <c r="AX268" t="s">
        <v>755</v>
      </c>
      <c r="AY268" t="s">
        <v>223</v>
      </c>
      <c r="AZ268">
        <v>0.368</v>
      </c>
      <c r="BA268">
        <v>0.124</v>
      </c>
      <c r="BB268">
        <v>4</v>
      </c>
      <c r="BC268">
        <v>0.075</v>
      </c>
      <c r="BD268">
        <v>0.082</v>
      </c>
      <c r="BE268">
        <v>4</v>
      </c>
      <c r="BF268">
        <v>0.231</v>
      </c>
      <c r="BG268">
        <v>0.182</v>
      </c>
      <c r="BH268">
        <v>4</v>
      </c>
      <c r="BI268">
        <v>0.149</v>
      </c>
      <c r="BJ268">
        <v>0.147</v>
      </c>
      <c r="BK268">
        <v>4</v>
      </c>
      <c r="BL268"/>
      <c r="BM268"/>
      <c r="BN268"/>
      <c r="BO268"/>
      <c r="BP268"/>
      <c r="BQ268"/>
      <c r="BR268"/>
      <c r="BS268"/>
      <c r="BT268"/>
      <c r="BU268"/>
      <c r="BV268"/>
      <c r="BW268"/>
      <c r="BX268"/>
    </row>
    <row r="269" s="1" customFormat="1" ht="15" customHeight="1" spans="1:76">
      <c r="A269">
        <v>88</v>
      </c>
      <c r="B269">
        <v>284</v>
      </c>
      <c r="C269" t="s">
        <v>750</v>
      </c>
      <c r="D269" t="s">
        <v>751</v>
      </c>
      <c r="E269">
        <v>2025</v>
      </c>
      <c r="F269" t="s">
        <v>752</v>
      </c>
      <c r="G269" t="s">
        <v>739</v>
      </c>
      <c r="H269" t="s">
        <v>198</v>
      </c>
      <c r="I269" t="s">
        <v>373</v>
      </c>
      <c r="J269" t="s">
        <v>96</v>
      </c>
      <c r="K269" t="s">
        <v>9</v>
      </c>
      <c r="L269" t="s">
        <v>97</v>
      </c>
      <c r="M269" t="s">
        <v>98</v>
      </c>
      <c r="N269" t="s">
        <v>99</v>
      </c>
      <c r="O269" t="s">
        <v>112</v>
      </c>
      <c r="P269" t="s">
        <v>101</v>
      </c>
      <c r="Q269" t="s">
        <v>102</v>
      </c>
      <c r="R269" t="s">
        <v>103</v>
      </c>
      <c r="S269" t="s">
        <v>104</v>
      </c>
      <c r="T269">
        <v>5</v>
      </c>
      <c r="U269"/>
      <c r="V269"/>
      <c r="W269"/>
      <c r="X269"/>
      <c r="Y269"/>
      <c r="Z269">
        <v>20</v>
      </c>
      <c r="AA269">
        <v>6</v>
      </c>
      <c r="AB269" t="s">
        <v>105</v>
      </c>
      <c r="AC269" t="s">
        <v>105</v>
      </c>
      <c r="AD269">
        <v>8.5</v>
      </c>
      <c r="AE269"/>
      <c r="AF269"/>
      <c r="AG269"/>
      <c r="AH269" t="s">
        <v>753</v>
      </c>
      <c r="AI269">
        <v>42</v>
      </c>
      <c r="AJ269">
        <v>22</v>
      </c>
      <c r="AK269" t="s">
        <v>86</v>
      </c>
      <c r="AL269">
        <v>36</v>
      </c>
      <c r="AM269">
        <v>4</v>
      </c>
      <c r="AN269"/>
      <c r="AO269"/>
      <c r="AP269"/>
      <c r="AQ269" t="s">
        <v>89</v>
      </c>
      <c r="AR269" t="s">
        <v>89</v>
      </c>
      <c r="AS269" t="s">
        <v>82</v>
      </c>
      <c r="AT269" t="s">
        <v>90</v>
      </c>
      <c r="AU269" t="s">
        <v>91</v>
      </c>
      <c r="AV269" t="s">
        <v>754</v>
      </c>
      <c r="AW269" t="s">
        <v>221</v>
      </c>
      <c r="AX269" t="s">
        <v>756</v>
      </c>
      <c r="AY269" t="s">
        <v>223</v>
      </c>
      <c r="AZ269">
        <v>0.368</v>
      </c>
      <c r="BA269">
        <v>0.124</v>
      </c>
      <c r="BB269">
        <v>4</v>
      </c>
      <c r="BC269">
        <v>0.075</v>
      </c>
      <c r="BD269">
        <v>0.082</v>
      </c>
      <c r="BE269">
        <v>4</v>
      </c>
      <c r="BF269">
        <v>0.097</v>
      </c>
      <c r="BG269">
        <v>0.043</v>
      </c>
      <c r="BH269">
        <v>4</v>
      </c>
      <c r="BI269">
        <v>0.104</v>
      </c>
      <c r="BJ269">
        <v>0.1</v>
      </c>
      <c r="BK269">
        <v>4</v>
      </c>
      <c r="BL269"/>
      <c r="BM269"/>
      <c r="BN269"/>
      <c r="BO269"/>
      <c r="BP269"/>
      <c r="BQ269"/>
      <c r="BR269"/>
      <c r="BS269"/>
      <c r="BT269"/>
      <c r="BU269"/>
      <c r="BV269"/>
      <c r="BW269"/>
      <c r="BX269"/>
    </row>
    <row r="270" s="1" customFormat="1" ht="15" customHeight="1" spans="1:76">
      <c r="A270">
        <v>88</v>
      </c>
      <c r="B270">
        <v>285</v>
      </c>
      <c r="C270" t="s">
        <v>750</v>
      </c>
      <c r="D270" t="s">
        <v>751</v>
      </c>
      <c r="E270">
        <v>2025</v>
      </c>
      <c r="F270" t="s">
        <v>752</v>
      </c>
      <c r="G270" t="s">
        <v>739</v>
      </c>
      <c r="H270" t="s">
        <v>198</v>
      </c>
      <c r="I270" t="s">
        <v>373</v>
      </c>
      <c r="J270" t="s">
        <v>96</v>
      </c>
      <c r="K270" t="s">
        <v>9</v>
      </c>
      <c r="L270" t="s">
        <v>97</v>
      </c>
      <c r="M270" t="s">
        <v>98</v>
      </c>
      <c r="N270" t="s">
        <v>99</v>
      </c>
      <c r="O270" t="s">
        <v>112</v>
      </c>
      <c r="P270" t="s">
        <v>101</v>
      </c>
      <c r="Q270" t="s">
        <v>102</v>
      </c>
      <c r="R270" t="s">
        <v>103</v>
      </c>
      <c r="S270" t="s">
        <v>104</v>
      </c>
      <c r="T270">
        <v>5</v>
      </c>
      <c r="U270"/>
      <c r="V270"/>
      <c r="W270"/>
      <c r="X270"/>
      <c r="Y270"/>
      <c r="Z270">
        <v>20</v>
      </c>
      <c r="AA270">
        <v>4</v>
      </c>
      <c r="AB270" t="s">
        <v>105</v>
      </c>
      <c r="AC270" t="s">
        <v>105</v>
      </c>
      <c r="AD270">
        <v>8.5</v>
      </c>
      <c r="AE270"/>
      <c r="AF270"/>
      <c r="AG270"/>
      <c r="AH270" t="s">
        <v>753</v>
      </c>
      <c r="AI270">
        <v>42</v>
      </c>
      <c r="AJ270">
        <v>22</v>
      </c>
      <c r="AK270" t="s">
        <v>86</v>
      </c>
      <c r="AL270">
        <v>36</v>
      </c>
      <c r="AM270">
        <v>4</v>
      </c>
      <c r="AN270"/>
      <c r="AO270"/>
      <c r="AP270"/>
      <c r="AQ270" t="s">
        <v>89</v>
      </c>
      <c r="AR270" t="s">
        <v>89</v>
      </c>
      <c r="AS270" t="s">
        <v>82</v>
      </c>
      <c r="AT270" t="s">
        <v>90</v>
      </c>
      <c r="AU270" t="s">
        <v>91</v>
      </c>
      <c r="AV270" t="s">
        <v>757</v>
      </c>
      <c r="AW270" t="s">
        <v>221</v>
      </c>
      <c r="AX270" t="s">
        <v>755</v>
      </c>
      <c r="AY270" t="s">
        <v>223</v>
      </c>
      <c r="AZ270">
        <v>0.368</v>
      </c>
      <c r="BA270">
        <v>0.124</v>
      </c>
      <c r="BB270">
        <v>4</v>
      </c>
      <c r="BC270">
        <v>0.117</v>
      </c>
      <c r="BD270">
        <v>0.035</v>
      </c>
      <c r="BE270">
        <v>4</v>
      </c>
      <c r="BF270">
        <v>0.231</v>
      </c>
      <c r="BG270">
        <v>0.182</v>
      </c>
      <c r="BH270">
        <v>4</v>
      </c>
      <c r="BI270">
        <v>0.157</v>
      </c>
      <c r="BJ270">
        <v>0.096</v>
      </c>
      <c r="BK270">
        <v>4</v>
      </c>
      <c r="BL270"/>
      <c r="BM270"/>
      <c r="BN270"/>
      <c r="BO270"/>
      <c r="BP270"/>
      <c r="BQ270"/>
      <c r="BR270"/>
      <c r="BS270"/>
      <c r="BT270"/>
      <c r="BU270"/>
      <c r="BV270"/>
      <c r="BW270"/>
      <c r="BX270"/>
    </row>
    <row r="271" s="1" customFormat="1" ht="15" customHeight="1" spans="1:76">
      <c r="A271">
        <v>88</v>
      </c>
      <c r="B271">
        <v>286</v>
      </c>
      <c r="C271" t="s">
        <v>750</v>
      </c>
      <c r="D271" t="s">
        <v>751</v>
      </c>
      <c r="E271">
        <v>2025</v>
      </c>
      <c r="F271" t="s">
        <v>752</v>
      </c>
      <c r="G271" t="s">
        <v>739</v>
      </c>
      <c r="H271" t="s">
        <v>198</v>
      </c>
      <c r="I271" t="s">
        <v>373</v>
      </c>
      <c r="J271" t="s">
        <v>96</v>
      </c>
      <c r="K271" t="s">
        <v>9</v>
      </c>
      <c r="L271" t="s">
        <v>97</v>
      </c>
      <c r="M271" t="s">
        <v>98</v>
      </c>
      <c r="N271" t="s">
        <v>99</v>
      </c>
      <c r="O271" t="s">
        <v>112</v>
      </c>
      <c r="P271" t="s">
        <v>101</v>
      </c>
      <c r="Q271" t="s">
        <v>102</v>
      </c>
      <c r="R271" t="s">
        <v>103</v>
      </c>
      <c r="S271" t="s">
        <v>104</v>
      </c>
      <c r="T271">
        <v>5</v>
      </c>
      <c r="U271"/>
      <c r="V271"/>
      <c r="W271"/>
      <c r="X271"/>
      <c r="Y271"/>
      <c r="Z271">
        <v>20</v>
      </c>
      <c r="AA271">
        <v>6</v>
      </c>
      <c r="AB271" t="s">
        <v>105</v>
      </c>
      <c r="AC271" t="s">
        <v>105</v>
      </c>
      <c r="AD271">
        <v>8.5</v>
      </c>
      <c r="AE271"/>
      <c r="AF271"/>
      <c r="AG271"/>
      <c r="AH271" t="s">
        <v>753</v>
      </c>
      <c r="AI271">
        <v>42</v>
      </c>
      <c r="AJ271">
        <v>22</v>
      </c>
      <c r="AK271" t="s">
        <v>86</v>
      </c>
      <c r="AL271">
        <v>36</v>
      </c>
      <c r="AM271">
        <v>4</v>
      </c>
      <c r="AN271"/>
      <c r="AO271"/>
      <c r="AP271"/>
      <c r="AQ271" t="s">
        <v>89</v>
      </c>
      <c r="AR271" t="s">
        <v>89</v>
      </c>
      <c r="AS271" t="s">
        <v>82</v>
      </c>
      <c r="AT271" t="s">
        <v>90</v>
      </c>
      <c r="AU271" t="s">
        <v>91</v>
      </c>
      <c r="AV271" t="s">
        <v>757</v>
      </c>
      <c r="AW271" t="s">
        <v>221</v>
      </c>
      <c r="AX271" t="s">
        <v>756</v>
      </c>
      <c r="AY271" t="s">
        <v>223</v>
      </c>
      <c r="AZ271">
        <v>0.368</v>
      </c>
      <c r="BA271">
        <v>0.124</v>
      </c>
      <c r="BB271">
        <v>4</v>
      </c>
      <c r="BC271">
        <v>0.117</v>
      </c>
      <c r="BD271">
        <v>0.035</v>
      </c>
      <c r="BE271">
        <v>4</v>
      </c>
      <c r="BF271">
        <v>0.097</v>
      </c>
      <c r="BG271">
        <v>0.043</v>
      </c>
      <c r="BH271">
        <v>4</v>
      </c>
      <c r="BI271">
        <v>0.118</v>
      </c>
      <c r="BJ271">
        <v>0.083</v>
      </c>
      <c r="BK271">
        <v>4</v>
      </c>
      <c r="BL271"/>
      <c r="BM271"/>
      <c r="BN271"/>
      <c r="BO271"/>
      <c r="BP271"/>
      <c r="BQ271"/>
      <c r="BR271"/>
      <c r="BS271"/>
      <c r="BT271"/>
      <c r="BU271"/>
      <c r="BV271"/>
      <c r="BW271"/>
      <c r="BX271"/>
    </row>
    <row r="272" s="1" customFormat="1" ht="15" customHeight="1" spans="1:7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</row>
    <row r="273" s="1" customFormat="1" ht="15" customHeight="1" spans="1:7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</row>
    <row r="274" s="1" customFormat="1" ht="15" customHeight="1" spans="1:7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</row>
    <row r="275" s="1" customFormat="1" ht="15" customHeight="1" spans="1:7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</row>
    <row r="276" s="1" customFormat="1" ht="15" customHeight="1" spans="1:7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</row>
    <row r="277" s="1" customFormat="1" ht="15" customHeight="1" spans="1:7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</row>
    <row r="278" s="1" customFormat="1" ht="15" customHeight="1" spans="1:7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</row>
    <row r="279" s="1" customFormat="1" ht="15" customHeight="1" spans="1:7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</row>
    <row r="280" s="1" customFormat="1" ht="15" customHeight="1" spans="1:7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</row>
    <row r="281" s="1" customFormat="1" ht="15" customHeight="1" spans="1:7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</row>
    <row r="282" s="1" customFormat="1" ht="15" customHeight="1" spans="1:6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V282"/>
      <c r="Z282"/>
      <c r="AA282"/>
      <c r="AB282"/>
      <c r="AC282"/>
      <c r="AD282"/>
      <c r="AH282"/>
      <c r="AI282"/>
      <c r="AJ282"/>
      <c r="AK282"/>
      <c r="AL282"/>
      <c r="AM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</row>
    <row r="283" s="1" customFormat="1" ht="15" customHeight="1" spans="22:22">
      <c r="V283"/>
    </row>
    <row r="284" s="1" customFormat="1" ht="15" customHeight="1"/>
    <row r="285" s="1" customFormat="1" ht="15" customHeight="1"/>
    <row r="286" s="1" customFormat="1" ht="15" customHeight="1"/>
    <row r="287" s="1" customFormat="1" ht="15" customHeight="1"/>
    <row r="288" s="1" customFormat="1" ht="15" customHeight="1"/>
    <row r="289" s="1" customFormat="1" ht="15" customHeight="1"/>
    <row r="290" s="1" customFormat="1" ht="15" customHeight="1"/>
    <row r="291" s="1" customFormat="1" ht="15" customHeight="1"/>
    <row r="292" s="1" customFormat="1" ht="15" customHeight="1"/>
    <row r="293" s="1" customFormat="1" ht="15" customHeight="1"/>
    <row r="294" s="1" customFormat="1" ht="15" customHeight="1"/>
    <row r="295" s="1" customFormat="1" ht="15" customHeight="1"/>
    <row r="296" s="1" customFormat="1" ht="15" customHeight="1"/>
    <row r="297" s="1" customFormat="1" ht="15" customHeight="1"/>
    <row r="298" s="1" customFormat="1" ht="15" customHeight="1"/>
    <row r="299" s="1" customFormat="1" ht="15" customHeight="1"/>
    <row r="300" s="1" customFormat="1" ht="15" customHeight="1"/>
    <row r="301" s="1" customFormat="1" ht="15" customHeight="1"/>
    <row r="302" s="1" customFormat="1" ht="15" customHeight="1"/>
    <row r="303" s="1" customFormat="1" ht="15" customHeight="1"/>
    <row r="304" s="1" customFormat="1" ht="15" customHeight="1"/>
    <row r="305" s="1" customFormat="1" ht="15" customHeight="1" spans="21:23">
      <c r="U305"/>
      <c r="V305"/>
      <c r="W305"/>
    </row>
    <row r="306" s="1" customFormat="1" ht="15" customHeight="1" spans="21:23">
      <c r="U306"/>
      <c r="V306"/>
      <c r="W306"/>
    </row>
    <row r="307" s="1" customFormat="1" ht="15" customHeight="1" spans="21:23">
      <c r="U307"/>
      <c r="V307"/>
      <c r="W307"/>
    </row>
    <row r="308" s="1" customFormat="1" ht="15" customHeight="1" spans="21:23">
      <c r="U308"/>
      <c r="V308"/>
      <c r="W308"/>
    </row>
    <row r="309" s="1" customFormat="1" ht="15" customHeight="1" spans="21:23">
      <c r="U309"/>
      <c r="V309"/>
      <c r="W309"/>
    </row>
    <row r="310" s="1" customFormat="1" ht="15" customHeight="1" spans="21:23">
      <c r="U310"/>
      <c r="V310"/>
      <c r="W310"/>
    </row>
    <row r="311" s="1" customFormat="1" ht="15" customHeight="1" spans="21:23">
      <c r="U311"/>
      <c r="V311"/>
      <c r="W311"/>
    </row>
    <row r="312" s="1" customFormat="1" ht="15" customHeight="1" spans="21:23">
      <c r="U312"/>
      <c r="V312"/>
      <c r="W312"/>
    </row>
    <row r="313" s="1" customFormat="1" ht="15" customHeight="1" spans="21:23">
      <c r="U313"/>
      <c r="V313"/>
      <c r="W313"/>
    </row>
    <row r="314" s="1" customFormat="1" ht="15" customHeight="1" spans="21:23">
      <c r="U314"/>
      <c r="V314"/>
      <c r="W314"/>
    </row>
    <row r="315" s="1" customFormat="1" ht="15" customHeight="1" spans="21:23">
      <c r="U315"/>
      <c r="V315"/>
      <c r="W315"/>
    </row>
    <row r="316" s="1" customFormat="1" ht="15" customHeight="1" spans="21:23">
      <c r="U316"/>
      <c r="V316"/>
      <c r="W316"/>
    </row>
    <row r="317" s="1" customFormat="1" ht="15" customHeight="1" spans="21:23">
      <c r="U317"/>
      <c r="V317"/>
      <c r="W317"/>
    </row>
    <row r="318" s="1" customFormat="1" ht="15" customHeight="1" spans="21:23">
      <c r="U318"/>
      <c r="V318"/>
      <c r="W318"/>
    </row>
    <row r="319" s="1" customFormat="1" ht="15" customHeight="1"/>
    <row r="320" s="1" customFormat="1" ht="15" customHeight="1"/>
    <row r="321" s="1" customFormat="1" ht="15" customHeight="1"/>
    <row r="322" s="1" customFormat="1" ht="15" customHeight="1"/>
    <row r="323" s="1" customFormat="1" ht="15" customHeight="1"/>
    <row r="324" s="1" customFormat="1" ht="15" customHeight="1"/>
    <row r="325" s="1" customFormat="1" ht="15" customHeight="1"/>
    <row r="326" s="1" customFormat="1" ht="15" customHeight="1"/>
    <row r="327" s="1" customFormat="1" ht="15" customHeight="1"/>
  </sheetData>
  <autoFilter xmlns:etc="http://www.wps.cn/officeDocument/2017/etCustomData" ref="A1:BX27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pica pica</cp:lastModifiedBy>
  <dcterms:created xsi:type="dcterms:W3CDTF">2026-09-21T10:28:00Z</dcterms:created>
  <dcterms:modified xsi:type="dcterms:W3CDTF">2026-09-29T11:18:41Z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45784D16BF3742A4ACD5CAD18469C33C_12</vt:lpwstr>
  </property>
  <property fmtid="{D5CDD505-2E9C-101B-9397-08002B2CF9AE}" pid="3" name="KSOProductBuildVer">
    <vt:lpwstr>2052-12.1.0.22175</vt:lpwstr>
  </property>
</Properties>
</file>